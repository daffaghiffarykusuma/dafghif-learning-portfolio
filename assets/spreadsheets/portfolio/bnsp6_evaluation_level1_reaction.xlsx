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3f0dd3262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" sheetId="1" r:id="Ra54c8f4b6a484ace"/>
    <x:sheet xmlns:r="http://schemas.openxmlformats.org/officeDocument/2006/relationships" name="Analisa" sheetId="2" r:id="R595d66e93bc34725"/>
  </x:sheets>
  <x:definedNames>
    <x:definedName name="_xlnm._FilterDatabase" localSheetId="0" hidden="1">'Form Respon'!$A$34:$T$59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2">
    <x:font>
      <x:sz val="11"/>
      <x:color theme="1"/>
      <x:name val="Calibri"/>
      <x:family val="2"/>
      <x:scheme val="minor"/>
    </x:font>
    <x:font>
      <x:b/>
      <x:sz val="15"/>
      <x:color rgb="00666666"/>
    </x:font>
    <x:font>
      <x:i/>
      <x:sz val="10"/>
      <x:color rgb="00999999"/>
    </x:font>
    <x:font>
      <x:b/>
      <x:sz val="15"/>
      <x:color rgb="00D91F26"/>
    </x:font>
    <x:font>
      <x:b/>
      <x:sz val="11"/>
      <x:color rgb="00222222"/>
    </x:font>
    <x:font>
      <x:b/>
      <x:color rgb="00222222"/>
    </x:font>
    <x:font>
      <x:color rgb="000000FF"/>
    </x:font>
    <x:font>
      <x:b/>
      <x:color rgb="00FFFFFF"/>
    </x:font>
    <x:font>
      <x:b/>
    </x:font>
    <x:font>
      <x:i/>
      <x:color rgb="00666666"/>
    </x:font>
    <x:font>
      <x:i/>
      <x:sz val="10"/>
      <x:color rgb="00666666"/>
    </x:font>
    <x:font>
      <x:b/>
      <x:sz val="18"/>
    </x:font>
  </x:fonts>
  <x:fills count="7">
    <x:fill>
      <x:patternFill patternType="none"/>
    </x:fill>
    <x:fill>
      <x:patternFill patternType="gray125"/>
    </x:fill>
    <x:fill>
      <x:patternFill patternType="solid">
        <x:fgColor rgb="00FDE9E9"/>
      </x:patternFill>
    </x:fill>
    <x:fill>
      <x:patternFill patternType="solid">
        <x:fgColor rgb="00FFFFFF"/>
      </x:patternFill>
    </x:fill>
    <x:fill>
      <x:patternFill patternType="solid">
        <x:fgColor rgb="00D91F26"/>
      </x:patternFill>
    </x:fill>
    <x:fill>
      <x:patternFill patternType="solid">
        <x:fgColor rgb="00FFF7F7"/>
      </x:patternFill>
    </x:fill>
    <x:fill>
      <x:patternFill patternType="solid">
        <x:fgColor rgb="00F4F4F4"/>
      </x:patternFill>
    </x:fill>
  </x:fills>
  <x:borders count="4">
    <x:border>
      <x:left/>
      <x:right/>
      <x:top/>
      <x:bottom/>
      <x:diagonal/>
    </x:border>
    <x:border>
      <x:bottom style="medium">
        <x:color rgb="00D91F26"/>
      </x:bottom>
    </x:border>
    <x:border>
      <x:left style="thin">
        <x:color rgb="00CFCFCF"/>
      </x:left>
      <x:right style="thin">
        <x:color rgb="00CFCFCF"/>
      </x:right>
      <x:top style="thin">
        <x:color rgb="00CFCFCF"/>
      </x:top>
      <x:bottom style="thin">
        <x:color rgb="00CFCFCF"/>
      </x:bottom>
    </x:border>
    <x:border>
      <x:left style="thin">
        <x:color rgb="00D91F26"/>
      </x:left>
      <x:right style="thin">
        <x:color rgb="00D91F26"/>
      </x:right>
      <x:top style="thin">
        <x:color rgb="00D91F26"/>
      </x:top>
      <x:bottom style="thin">
        <x:color rgb="00D91F2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/>
    </x:xf>
    <x:xf numFmtId="0" fontId="0" fillId="0" borderId="1" xfId="0"/>
    <x:xf numFmtId="0" fontId="3" fillId="0" borderId="0" xfId="0" applyAlignment="1">
      <x:alignment horizontal="center"/>
    </x:xf>
    <x:xf numFmtId="0" fontId="4" fillId="0" borderId="0" xfId="0" applyAlignment="1">
      <x:alignment horizontal="center"/>
    </x:xf>
    <x:xf numFmtId="0" fontId="5" fillId="2" borderId="2" xfId="0" applyAlignment="1">
      <x:alignment vertical="center"/>
    </x:xf>
    <x:xf numFmtId="0" fontId="0" fillId="0" borderId="2" xfId="0"/>
    <x:xf numFmtId="0" fontId="6" fillId="3" borderId="2" xfId="0" applyAlignment="1">
      <x:alignment vertical="center"/>
    </x:xf>
    <x:xf numFmtId="0" fontId="7" fillId="4" borderId="0" xfId="0"/>
    <x:xf numFmtId="0" fontId="0" fillId="5" borderId="3" xfId="0" applyAlignment="1">
      <x:alignment vertical="top" wrapText="1"/>
    </x:xf>
    <x:xf numFmtId="0" fontId="0" fillId="0" borderId="3" xfId="0"/>
    <x:xf numFmtId="0" fontId="8" fillId="2" borderId="2" xfId="0" applyAlignment="1">
      <x:alignment horizontal="center"/>
    </x:xf>
    <x:xf numFmtId="0" fontId="0" fillId="0" borderId="2" xfId="0" applyAlignment="1">
      <x:alignment vertical="top" wrapText="1"/>
    </x:xf>
    <x:xf numFmtId="0" fontId="8" fillId="2" borderId="2" xfId="0" applyAlignment="1">
      <x:alignment horizontal="center" vertical="center" wrapText="1"/>
    </x:xf>
    <x:xf numFmtId="0" fontId="6" fillId="0" borderId="2" xfId="0" applyAlignment="1">
      <x:alignment vertical="top" wrapText="1"/>
    </x:xf>
    <x:xf numFmtId="0" fontId="9" fillId="0" borderId="0" xfId="0"/>
    <x:xf numFmtId="0" fontId="10" fillId="0" borderId="0" xfId="0" applyAlignment="1">
      <x:alignment horizontal="center"/>
    </x:xf>
    <x:xf numFmtId="0" fontId="7" fillId="4" borderId="3" xfId="0" applyAlignment="1">
      <x:alignment horizontal="center"/>
    </x:xf>
    <x:xf numFmtId="1" fontId="11" fillId="5" borderId="3" xfId="0" applyAlignment="1">
      <x:alignment horizontal="center" vertical="center"/>
    </x:xf>
    <x:xf numFmtId="2" fontId="11" fillId="5" borderId="3" xfId="0" applyAlignment="1">
      <x:alignment horizontal="center" vertical="center"/>
    </x:xf>
    <x:xf numFmtId="164" fontId="11" fillId="5" borderId="3" xfId="0" applyAlignment="1">
      <x:alignment horizontal="center" vertical="center"/>
    </x:xf>
    <x:xf numFmtId="0" fontId="8" fillId="0" borderId="2" xfId="0"/>
    <x:xf numFmtId="164" fontId="8" fillId="6" borderId="2" xfId="0"/>
    <x:xf numFmtId="0" fontId="8" fillId="6" borderId="2" xfId="0"/>
    <x:xf numFmtId="0" fontId="8" fillId="2" borderId="2" xfId="0" applyAlignment="1">
      <x:alignment horizontal="center" wrapText="1"/>
    </x:xf>
    <x:xf numFmtId="0" fontId="8" fillId="2" borderId="2" xfId="0"/>
    <x:xf numFmtId="0" fontId="0" fillId="0" borderId="2" xfId="0" applyAlignment="1">
      <x:alignment wrapText="1"/>
    </x:xf>
    <x:xf numFmtId="2" fontId="0" fillId="0" borderId="2" xfId="0" applyAlignment="1">
      <x:alignment wrapText="1"/>
    </x:xf>
    <x:xf numFmtId="164" fontId="0" fillId="0" borderId="2" xfId="0" applyAlignment="1">
      <x:alignment wrapText="1"/>
    </x:xf>
    <x:xf numFmtId="0" fontId="8" fillId="5" borderId="2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a720c9e8b4dfe" /><Relationship Type="http://schemas.openxmlformats.org/officeDocument/2006/relationships/theme" Target="/xl/theme/theme1.xml" Id="Rc8eee67ff02e4865" /><Relationship Type="http://schemas.openxmlformats.org/officeDocument/2006/relationships/sharedStrings" Target="/xl/sharedStrings.xml" Id="Rb75d5a594b644fad" /><Relationship Type="http://schemas.openxmlformats.org/officeDocument/2006/relationships/worksheet" Target="/xl/worksheets/sheet1.xml" Id="Ra54c8f4b6a484ace" /><Relationship Type="http://schemas.openxmlformats.org/officeDocument/2006/relationships/worksheet" Target="/xl/worksheets/sheet2.xml" Id="R595d66e93bc347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876b74ac3f24ee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9619479adfdd4221" /><Relationship Type="http://schemas.openxmlformats.org/officeDocument/2006/relationships/chart" Target="/xl/drawings/charts/chart1.xml" Id="R21d3411418fc4360" /><Relationship Type="http://schemas.openxmlformats.org/officeDocument/2006/relationships/chart" Target="/xl/drawings/charts/chart2.xml" Id="R22d6623f2e7c47d5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Skor Rata-rata per Dimensi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'Analisa'!C20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'Analisa'!$B$21:$B$31</c:f>
              <c:strCache>
                <c:ptCount val="0"/>
              </c:strCache>
            </c:strRef>
          </c:cat>
          <c:val>
            <c:numRef>
              <c:f>'Analisa'!$C$21:$C$31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Skor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Dimensi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Distribusi NPS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'Analisa'!I20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'Analisa'!$H$21:$H$23</c:f>
              <c:strCache>
                <c:ptCount val="0"/>
              </c:strCache>
            </c:strRef>
          </c:cat>
          <c:val>
            <c:numRef>
              <c:f>'Analisa'!$I$21:$I$23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90550" cy="590550"/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76b74ac3f2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46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d3411418fc4360"/>
        </a:graphicData>
      </a:graphic>
    </xdr:graphicFrame>
    <xdr:clientData/>
  </xdr:twoCellAnchor>
  <xdr:twoCellAnchor>
    <xdr:from>
      <xdr:col>10</xdr:col>
      <xdr:colOff>0</xdr:colOff>
      <xdr:row>46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6623f2e7c47d5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90550" cy="590550"/>
    <xdr:pic>
      <xdr:nvPicPr>
        <xdr:cNvPr id="1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9479adfdd42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35c3ab2d4d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ce97b0fcb894e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62" customWidth="1"/>
    <x:col min="5" max="5" width="10" customWidth="1"/>
    <x:col min="6" max="6" width="6" customWidth="1"/>
    <x:col min="7" max="7" width="6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8" customWidth="1"/>
    <x:col min="18" max="18" width="24" customWidth="1"/>
    <x:col min="19" max="19" width="24" customWidth="1"/>
    <x:col min="20" max="20" width="22" customWidth="1"/>
  </x:cols>
  <x:sheetData>
    <x:row r="1" ht="26" customHeight="1">
      <x:c r="C1" s="1" t="inlineStr">
        <x:is>
          <x:t xml:space="preserve">EIGHTEEN REKRUTMEN ASIA</x:t>
        </x:is>
      </x:c>
    </x:row>
    <x:row r="2" ht="22" customHeight="1"/>
    <x:row r="3" ht="18" customHeight="1">
      <x:c r="C3" s="2" t="inlineStr">
        <x:is>
          <x:t xml:space="preserve">Dokumen Evaluasi Pelatihan – Level 1 Reaction</x:t>
        </x:is>
      </x:c>
    </x:row>
    <x:row r="4" ht="8" customHeight="1">
      <x:c r="A4" s="3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</x:row>
    <x:row r="6">
      <x:c r="A6" s="4" t="inlineStr">
        <x:is>
          <x:t xml:space="preserve">TRAINING EVALUATION LEVEL 1 – REACTION (THE KIRKPATRICK MODEL)</x:t>
        </x:is>
      </x:c>
    </x:row>
    <x:row r="7">
      <x:c r="A7" s="5" t="inlineStr">
        <x:is>
          <x:t xml:space="preserve">Program: Communication Essentials for Work | Klien: Relasi Diri | Penyelenggara: Eighteen Rekrutmen Asia</x:t>
        </x:is>
      </x:c>
    </x:row>
    <x:row r="9">
      <x:c r="B9" s="6" t="inlineStr">
        <x:is>
          <x:t xml:space="preserve">Klien</x:t>
        </x:is>
      </x:c>
      <x:c r="C9" s="7" t="n"/>
      <x:c r="D9" s="8" t="inlineStr">
        <x:is>
          <x:t xml:space="preserve">Relasi Diri</x:t>
        </x:is>
      </x:c>
      <x:c r="E9" s="7" t="n"/>
      <x:c r="F9" s="7" t="n"/>
      <x:c r="G9" s="7" t="n"/>
      <x:c r="H9" s="7" t="n"/>
      <x:c r="I9" s="7" t="n"/>
      <x:c r="J9" s="6" t="inlineStr">
        <x:is>
          <x:t xml:space="preserve">Tanggal Pelatihan</x:t>
        </x:is>
      </x:c>
      <x:c r="K9" s="7" t="n"/>
      <x:c r="L9" s="8" t="inlineStr">
        <x:is>
          <x:t xml:space="preserve">30 April 2026</x:t>
        </x:is>
      </x:c>
      <x:c r="M9" s="7" t="n"/>
      <x:c r="N9" s="7" t="n"/>
      <x:c r="O9" s="7" t="n"/>
      <x:c r="P9" s="7" t="n"/>
      <x:c r="Q9" s="7" t="n"/>
      <x:c r="R9" s="7" t="n"/>
      <x:c r="S9" s="7" t="n"/>
      <x:c r="T9" s="7" t="n"/>
    </x:row>
    <x:row r="10">
      <x:c r="B10" s="6" t="inlineStr">
        <x:is>
          <x:t xml:space="preserve">Penyelenggara</x:t>
        </x:is>
      </x:c>
      <x:c r="C10" s="7" t="n"/>
      <x:c r="D10" s="8" t="inlineStr">
        <x:is>
          <x:t xml:space="preserve">Eighteen Rekrutmen Asia</x:t>
        </x:is>
      </x:c>
      <x:c r="E10" s="7" t="n"/>
      <x:c r="F10" s="7" t="n"/>
      <x:c r="G10" s="7" t="n"/>
      <x:c r="H10" s="7" t="n"/>
      <x:c r="I10" s="7" t="n"/>
      <x:c r="J10" s="6" t="inlineStr">
        <x:is>
          <x:t xml:space="preserve">Metode</x:t>
        </x:is>
      </x:c>
      <x:c r="K10" s="7" t="n"/>
      <x:c r="L10" s="8" t="inlineStr">
        <x:is>
          <x:t xml:space="preserve">Daring Interaktif</x:t>
        </x:is>
      </x:c>
      <x:c r="M10" s="7" t="n"/>
      <x:c r="N10" s="7" t="n"/>
      <x:c r="O10" s="7" t="n"/>
      <x:c r="P10" s="7" t="n"/>
      <x:c r="Q10" s="7" t="n"/>
      <x:c r="R10" s="7" t="n"/>
      <x:c r="S10" s="7" t="n"/>
      <x:c r="T10" s="7" t="n"/>
    </x:row>
    <x:row r="11">
      <x:c r="B11" s="6" t="inlineStr">
        <x:is>
          <x:t xml:space="preserve">Program</x:t>
        </x:is>
      </x:c>
      <x:c r="C11" s="7" t="n"/>
      <x:c r="D11" s="8" t="inlineStr">
        <x:is>
          <x:t xml:space="preserve">Communication Essentials for Work</x:t>
        </x:is>
      </x:c>
      <x:c r="E11" s="7" t="n"/>
      <x:c r="F11" s="7" t="n"/>
      <x:c r="G11" s="7" t="n"/>
      <x:c r="H11" s="7" t="n"/>
      <x:c r="I11" s="7" t="n"/>
      <x:c r="J11" s="6" t="inlineStr">
        <x:is>
          <x:t xml:space="preserve">Fasilitator</x:t>
        </x:is>
      </x:c>
      <x:c r="K11" s="7" t="n"/>
      <x:c r="L11" s="8" t="inlineStr">
        <x:is>
          <x:t xml:space="preserve">Fajar Ramadhan Pratama &amp; Raka Pradipta Nugraha</x:t>
        </x:is>
      </x:c>
      <x:c r="M11" s="7" t="n"/>
      <x:c r="N11" s="7" t="n"/>
      <x:c r="O11" s="7" t="n"/>
      <x:c r="P11" s="7" t="n"/>
      <x:c r="Q11" s="7" t="n"/>
      <x:c r="R11" s="7" t="n"/>
      <x:c r="S11" s="7" t="n"/>
      <x:c r="T11" s="7" t="n"/>
    </x:row>
    <x:row r="12">
      <x:c r="B12" s="6" t="inlineStr">
        <x:is>
          <x:t xml:space="preserve">Target Peserta</x:t>
        </x:is>
      </x:c>
      <x:c r="C12" s="7" t="n"/>
      <x:c r="D12" s="8" t="inlineStr">
        <x:is>
          <x:t xml:space="preserve">20</x:t>
        </x:is>
      </x:c>
      <x:c r="E12" s="7" t="n"/>
      <x:c r="F12" s="7" t="n"/>
      <x:c r="G12" s="7" t="n"/>
      <x:c r="H12" s="7" t="n"/>
      <x:c r="I12" s="7" t="n"/>
      <x:c r="J12" s="6" t="inlineStr">
        <x:is>
          <x:t xml:space="preserve">Jenis Evaluasi</x:t>
        </x:is>
      </x:c>
      <x:c r="K12" s="7" t="n"/>
      <x:c r="L12" s="8" t="inlineStr">
        <x:is>
          <x:t xml:space="preserve">Level 1 – Reaction</x:t>
        </x:is>
      </x:c>
      <x:c r="M12" s="7" t="n"/>
      <x:c r="N12" s="7" t="n"/>
      <x:c r="O12" s="7" t="n"/>
      <x:c r="P12" s="7" t="n"/>
      <x:c r="Q12" s="7" t="n"/>
      <x:c r="R12" s="7" t="n"/>
      <x:c r="S12" s="7" t="n"/>
      <x:c r="T12" s="7" t="n"/>
    </x:row>
    <x:row r="14">
      <x:c r="A14" s="9" t="inlineStr">
        <x:is>
          <x:t xml:space="preserve">Petunjuk Pengisian &amp; Skala Penilaian</x:t>
        </x:is>
      </x:c>
    </x:row>
    <x:row r="15">
      <x:c r="A15" s="10" t="inlineStr">
        <x:is>
          <x:t xml:space="preserve">Isi data responden pada tabel di bawah. Berikan skor 1–5 untuk Q1–Q11 (1 = sangat tidak setuju, 2 = tidak setuju, 3 = cukup, 4 = setuju, 5 = sangat setuju). Kolom NPS diisi 0–10 untuk menilai kemungkinan peserta merekomendasikan program ini kepada rekan kerja.</x:t>
        </x:is>
      </x:c>
      <x:c r="B15" s="11" t="n"/>
      <x:c r="C15" s="11" t="n"/>
      <x:c r="D15" s="11" t="n"/>
      <x:c r="E15" s="11" t="n"/>
      <x:c r="F15" s="11" t="n"/>
      <x:c r="G15" s="11" t="n"/>
      <x:c r="H15" s="11" t="n"/>
      <x:c r="I15" s="11" t="n"/>
      <x:c r="J15" s="11" t="n"/>
      <x:c r="K15" s="11" t="n"/>
      <x:c r="L15" s="11" t="n"/>
      <x:c r="M15" s="11" t="n"/>
      <x:c r="N15" s="11" t="n"/>
      <x:c r="O15" s="11" t="n"/>
      <x:c r="P15" s="11" t="n"/>
      <x:c r="Q15" s="11" t="n"/>
      <x:c r="R15" s="11" t="n"/>
      <x:c r="S15" s="11" t="n"/>
      <x:c r="T15" s="11" t="n"/>
    </x:row>
    <x:row r="16">
      <x:c r="A16" s="11" t="n"/>
      <x:c r="B16" s="11" t="n"/>
      <x:c r="C16" s="11" t="n"/>
      <x:c r="D16" s="11" t="n"/>
      <x:c r="E16" s="11" t="n"/>
      <x:c r="F16" s="11" t="n"/>
      <x:c r="G16" s="11" t="n"/>
      <x:c r="H16" s="11" t="n"/>
      <x:c r="I16" s="11" t="n"/>
      <x:c r="J16" s="11" t="n"/>
      <x:c r="K16" s="11" t="n"/>
      <x:c r="L16" s="11" t="n"/>
      <x:c r="M16" s="11" t="n"/>
      <x:c r="N16" s="11" t="n"/>
      <x:c r="O16" s="11" t="n"/>
      <x:c r="P16" s="11" t="n"/>
      <x:c r="Q16" s="11" t="n"/>
      <x:c r="R16" s="11" t="n"/>
      <x:c r="S16" s="11" t="n"/>
      <x:c r="T16" s="11" t="n"/>
    </x:row>
    <x:row r="18">
      <x:c r="A18" s="9" t="inlineStr">
        <x:is>
          <x:t xml:space="preserve">Daftar Butir Evaluasi Reaction</x:t>
        </x:is>
      </x:c>
    </x:row>
    <x:row r="19">
      <x:c r="B19" s="12" t="inlineStr">
        <x:is>
          <x:t xml:space="preserve">Kode</x:t>
        </x:is>
      </x:c>
      <x:c r="C19" s="12" t="inlineStr">
        <x:is>
          <x:t xml:space="preserve">Dimensi</x:t>
        </x:is>
      </x:c>
      <x:c r="D19" s="12" t="inlineStr">
        <x:is>
          <x:t xml:space="preserve">Butir Pernyataan</x:t>
        </x:is>
      </x:c>
    </x:row>
    <x:row r="20">
      <x:c r="B20" s="13" t="inlineStr">
        <x:is>
          <x:t xml:space="preserve">Q1</x:t>
        </x:is>
      </x:c>
      <x:c r="C20" s="13" t="inlineStr">
        <x:is>
          <x:t xml:space="preserve">Relevansi</x:t>
        </x:is>
      </x:c>
      <x:c r="D20" s="13" t="inlineStr">
        <x:is>
          <x:t xml:space="preserve">Materi pelatihan relevan dengan kebutuhan kerja saya.</x:t>
        </x:is>
      </x:c>
    </x:row>
    <x:row r="21">
      <x:c r="B21" s="13" t="inlineStr">
        <x:is>
          <x:t xml:space="preserve">Q2</x:t>
        </x:is>
      </x:c>
      <x:c r="C21" s="13" t="inlineStr">
        <x:is>
          <x:t xml:space="preserve">Kejelasan tujuan</x:t>
        </x:is>
      </x:c>
      <x:c r="D21" s="13" t="inlineStr">
        <x:is>
          <x:t xml:space="preserve">Tujuan dan alur pelatihan dijelaskan dengan jelas sejak awal.</x:t>
        </x:is>
      </x:c>
    </x:row>
    <x:row r="22">
      <x:c r="B22" s="13" t="inlineStr">
        <x:is>
          <x:t xml:space="preserve">Q3</x:t>
        </x:is>
      </x:c>
      <x:c r="C22" s="13" t="inlineStr">
        <x:is>
          <x:t xml:space="preserve">Fasilitator</x:t>
        </x:is>
      </x:c>
      <x:c r="D22" s="13" t="inlineStr">
        <x:is>
          <x:t xml:space="preserve">Fasilitator menguasai materi dengan baik.</x:t>
        </x:is>
      </x:c>
    </x:row>
    <x:row r="23">
      <x:c r="B23" s="13" t="inlineStr">
        <x:is>
          <x:t xml:space="preserve">Q4</x:t>
        </x:is>
      </x:c>
      <x:c r="C23" s="13" t="inlineStr">
        <x:is>
          <x:t xml:space="preserve">Fasilitator</x:t>
        </x:is>
      </x:c>
      <x:c r="D23" s="13" t="inlineStr">
        <x:is>
          <x:t xml:space="preserve">Fasilitator menjelaskan materi secara jelas dan mudah dipahami.</x:t>
        </x:is>
      </x:c>
    </x:row>
    <x:row r="24">
      <x:c r="B24" s="13" t="inlineStr">
        <x:is>
          <x:t xml:space="preserve">Q5</x:t>
        </x:is>
      </x:c>
      <x:c r="C24" s="13" t="inlineStr">
        <x:is>
          <x:t xml:space="preserve">Interaksi</x:t>
        </x:is>
      </x:c>
      <x:c r="D24" s="13" t="inlineStr">
        <x:is>
          <x:t xml:space="preserve">Diskusi, latihan, dan interaksi membuat saya terlibat aktif.</x:t>
        </x:is>
      </x:c>
    </x:row>
    <x:row r="25">
      <x:c r="B25" s="13" t="inlineStr">
        <x:is>
          <x:t xml:space="preserve">Q6</x:t>
        </x:is>
      </x:c>
      <x:c r="C25" s="13" t="inlineStr">
        <x:is>
          <x:t xml:space="preserve">Metode</x:t>
        </x:is>
      </x:c>
      <x:c r="D25" s="13" t="inlineStr">
        <x:is>
          <x:t xml:space="preserve">Metode dan aktivitas belajar sesuai dengan kebutuhan peserta dewasa.</x:t>
        </x:is>
      </x:c>
    </x:row>
    <x:row r="26">
      <x:c r="B26" s="13" t="inlineStr">
        <x:is>
          <x:t xml:space="preserve">Q7</x:t>
        </x:is>
      </x:c>
      <x:c r="C26" s="13" t="inlineStr">
        <x:is>
          <x:t xml:space="preserve">Materi</x:t>
        </x:is>
      </x:c>
      <x:c r="D26" s="13" t="inlineStr">
        <x:is>
          <x:t xml:space="preserve">Handout, contoh, atau studi kasus membantu pemahaman saya.</x:t>
        </x:is>
      </x:c>
    </x:row>
    <x:row r="27">
      <x:c r="B27" s="13" t="inlineStr">
        <x:is>
          <x:t xml:space="preserve">Q8</x:t>
        </x:is>
      </x:c>
      <x:c r="C27" s="13" t="inlineStr">
        <x:is>
          <x:t xml:space="preserve">Media/Logistik</x:t>
        </x:is>
      </x:c>
      <x:c r="D27" s="13" t="inlineStr">
        <x:is>
          <x:t xml:space="preserve">Media, platform, dan dukungan teknis memadai selama pelatihan.</x:t>
        </x:is>
      </x:c>
    </x:row>
    <x:row r="28">
      <x:c r="B28" s="13" t="inlineStr">
        <x:is>
          <x:t xml:space="preserve">Q9</x:t>
        </x:is>
      </x:c>
      <x:c r="C28" s="13" t="inlineStr">
        <x:is>
          <x:t xml:space="preserve">Waktu</x:t>
        </x:is>
      </x:c>
      <x:c r="D28" s="13" t="inlineStr">
        <x:is>
          <x:t xml:space="preserve">Alokasi waktu pelatihan dikelola dengan baik.</x:t>
        </x:is>
      </x:c>
    </x:row>
    <x:row r="29">
      <x:c r="B29" s="13" t="inlineStr">
        <x:is>
          <x:t xml:space="preserve">Q10</x:t>
        </x:is>
      </x:c>
      <x:c r="C29" s="13" t="inlineStr">
        <x:is>
          <x:t xml:space="preserve">Aplikasi kerja</x:t>
        </x:is>
      </x:c>
      <x:c r="D29" s="13" t="inlineStr">
        <x:is>
          <x:t xml:space="preserve">Pelatihan memberi manfaat yang dapat saya terapkan di pekerjaan.</x:t>
        </x:is>
      </x:c>
    </x:row>
    <x:row r="30">
      <x:c r="B30" s="13" t="inlineStr">
        <x:is>
          <x:t xml:space="preserve">Q11</x:t>
        </x:is>
      </x:c>
      <x:c r="C30" s="13" t="inlineStr">
        <x:is>
          <x:t xml:space="preserve">Kepuasan</x:t>
        </x:is>
      </x:c>
      <x:c r="D30" s="13" t="inlineStr">
        <x:is>
          <x:t xml:space="preserve">Secara keseluruhan saya puas terhadap program pelatihan ini.</x:t>
        </x:is>
      </x:c>
    </x:row>
    <x:row r="33">
      <x:c r="A33" s="9" t="inlineStr">
        <x:is>
          <x:t xml:space="preserve">Form Responden / Database Input</x:t>
        </x:is>
      </x:c>
    </x:row>
    <x:row r="34" ht="36" customHeight="1">
      <x:c r="A34" s="14" t="inlineStr">
        <x:is>
          <x:t xml:space="preserve">ID</x:t>
        </x:is>
      </x:c>
      <x:c r="B34" s="14" t="inlineStr">
        <x:is>
          <x:t xml:space="preserve">Nama Peserta</x:t>
        </x:is>
      </x:c>
      <x:c r="C34" s="14" t="inlineStr">
        <x:is>
          <x:t xml:space="preserve">Jabatan/Fungsi</x:t>
        </x:is>
      </x:c>
      <x:c r="D34" s="14" t="inlineStr">
        <x:is>
          <x:t xml:space="preserve">Divisi/Unit</x:t>
        </x:is>
      </x:c>
      <x:c r="E34" s="14" t="inlineStr">
        <x:is>
          <x:t xml:space="preserve">Hadir %</x:t>
        </x:is>
      </x:c>
      <x:c r="F34" s="14" t="inlineStr">
        <x:is>
          <x:t xml:space="preserve">Q1</x:t>
        </x:is>
      </x:c>
      <x:c r="G34" s="14" t="inlineStr">
        <x:is>
          <x:t xml:space="preserve">Q2</x:t>
        </x:is>
      </x:c>
      <x:c r="H34" s="14" t="inlineStr">
        <x:is>
          <x:t xml:space="preserve">Q3</x:t>
        </x:is>
      </x:c>
      <x:c r="I34" s="14" t="inlineStr">
        <x:is>
          <x:t xml:space="preserve">Q4</x:t>
        </x:is>
      </x:c>
      <x:c r="J34" s="14" t="inlineStr">
        <x:is>
          <x:t xml:space="preserve">Q5</x:t>
        </x:is>
      </x:c>
      <x:c r="K34" s="14" t="inlineStr">
        <x:is>
          <x:t xml:space="preserve">Q6</x:t>
        </x:is>
      </x:c>
      <x:c r="L34" s="14" t="inlineStr">
        <x:is>
          <x:t xml:space="preserve">Q7</x:t>
        </x:is>
      </x:c>
      <x:c r="M34" s="14" t="inlineStr">
        <x:is>
          <x:t xml:space="preserve">Q8</x:t>
        </x:is>
      </x:c>
      <x:c r="N34" s="14" t="inlineStr">
        <x:is>
          <x:t xml:space="preserve">Q9</x:t>
        </x:is>
      </x:c>
      <x:c r="O34" s="14" t="inlineStr">
        <x:is>
          <x:t xml:space="preserve">Q10</x:t>
        </x:is>
      </x:c>
      <x:c r="P34" s="14" t="inlineStr">
        <x:is>
          <x:t xml:space="preserve">Q11</x:t>
        </x:is>
      </x:c>
      <x:c r="Q34" s="14" t="inlineStr">
        <x:is>
          <x:t xml:space="preserve">NPS</x:t>
        </x:is>
      </x:c>
      <x:c r="R34" s="14" t="inlineStr">
        <x:is>
          <x:t xml:space="preserve">Komentar Positif</x:t>
        </x:is>
      </x:c>
      <x:c r="S34" s="14" t="inlineStr">
        <x:is>
          <x:t xml:space="preserve">Saran Perbaikan</x:t>
        </x:is>
      </x:c>
      <x:c r="T34" s="14" t="inlineStr">
        <x:is>
          <x:t xml:space="preserve">Tindak Lanjut yang Dibutuhkan</x:t>
        </x:is>
      </x:c>
    </x:row>
    <x:row r="35">
      <x:c r="A35" s="13" t="inlineStr">
        <x:is>
          <x:t xml:space="preserve">RD-01</x:t>
        </x:is>
      </x:c>
      <x:c r="B35" s="15" t="inlineStr">
        <x:is>
          <x:t xml:space="preserve">Peserta 01</x:t>
        </x:is>
      </x:c>
      <x:c r="C35" s="15" t="inlineStr">
        <x:is>
          <x:t xml:space="preserve">Konselor</x:t>
        </x:is>
      </x:c>
      <x:c r="D35" s="15" t="inlineStr">
        <x:is>
          <x:t xml:space="preserve">Layanan Klien</x:t>
        </x:is>
      </x:c>
      <x:c r="E35" s="15" t="n">
        <x:v>100</x:v>
      </x:c>
      <x:c r="F35" s="15" t="n">
        <x:v>5</x:v>
      </x:c>
      <x:c r="G35" s="15" t="n">
        <x:v>5</x:v>
      </x:c>
      <x:c r="H35" s="15" t="n">
        <x:v>5</x:v>
      </x:c>
      <x:c r="I35" s="15" t="n">
        <x:v>5</x:v>
      </x:c>
      <x:c r="J35" s="15" t="n">
        <x:v>4</x:v>
      </x:c>
      <x:c r="K35" s="15" t="n">
        <x:v>4</x:v>
      </x:c>
      <x:c r="L35" s="15" t="n">
        <x:v>5</x:v>
      </x:c>
      <x:c r="M35" s="15" t="n">
        <x:v>4</x:v>
      </x:c>
      <x:c r="N35" s="15" t="n">
        <x:v>4</x:v>
      </x:c>
      <x:c r="O35" s="15" t="n">
        <x:v>5</x:v>
      </x:c>
      <x:c r="P35" s="15" t="n">
        <x:v>5</x:v>
      </x:c>
      <x:c r="Q35" s="15" t="n">
        <x:v>10</x:v>
      </x:c>
      <x:c r="R35" s="15" t="inlineStr">
        <x:is>
          <x:t xml:space="preserve">Studi kasus relevan dan fasilitator komunikatif.</x:t>
        </x:is>
      </x:c>
      <x:c r="S35" s="15" t="inlineStr">
        <x:is>
          <x:t xml:space="preserve">Tambahkan waktu role play.</x:t>
        </x:is>
      </x:c>
      <x:c r="T35" s="15" t="inlineStr">
        <x:is>
          <x:t xml:space="preserve">Coaching singkat untuk tim layanan.</x:t>
        </x:is>
      </x:c>
    </x:row>
    <x:row r="36">
      <x:c r="A36" s="13" t="inlineStr">
        <x:is>
          <x:t xml:space="preserve">RD-02</x:t>
        </x:is>
      </x:c>
      <x:c r="B36" s="15" t="inlineStr">
        <x:is>
          <x:t xml:space="preserve">Peserta 02</x:t>
        </x:is>
      </x:c>
      <x:c r="C36" s="15" t="inlineStr">
        <x:is>
          <x:t xml:space="preserve">Client Experience</x:t>
        </x:is>
      </x:c>
      <x:c r="D36" s="15" t="inlineStr">
        <x:is>
          <x:t xml:space="preserve">Operasional</x:t>
        </x:is>
      </x:c>
      <x:c r="E36" s="15" t="n">
        <x:v>100</x:v>
      </x:c>
      <x:c r="F36" s="15" t="n">
        <x:v>4</x:v>
      </x:c>
      <x:c r="G36" s="15" t="n">
        <x:v>4</x:v>
      </x:c>
      <x:c r="H36" s="15" t="n">
        <x:v>5</x:v>
      </x:c>
      <x:c r="I36" s="15" t="n">
        <x:v>4</x:v>
      </x:c>
      <x:c r="J36" s="15" t="n">
        <x:v>4</x:v>
      </x:c>
      <x:c r="K36" s="15" t="n">
        <x:v>4</x:v>
      </x:c>
      <x:c r="L36" s="15" t="n">
        <x:v>4</x:v>
      </x:c>
      <x:c r="M36" s="15" t="n">
        <x:v>4</x:v>
      </x:c>
      <x:c r="N36" s="15" t="n">
        <x:v>4</x:v>
      </x:c>
      <x:c r="O36" s="15" t="n">
        <x:v>4</x:v>
      </x:c>
      <x:c r="P36" s="15" t="n">
        <x:v>4</x:v>
      </x:c>
      <x:c r="Q36" s="15" t="n">
        <x:v>9</x:v>
      </x:c>
      <x:c r="R36" s="15" t="inlineStr">
        <x:is>
          <x:t xml:space="preserve">Penjelasan runtut dan mudah diikuti.</x:t>
        </x:is>
      </x:c>
      <x:c r="S36" s="15" t="inlineStr">
        <x:is>
          <x:t xml:space="preserve">Perlu lebih banyak contoh dari industri layanan psikologi.</x:t>
        </x:is>
      </x:c>
      <x:c r="T36" s="15" t="inlineStr">
        <x:is>
          <x:t xml:space="preserve">Modul email &amp; chat etiquette.</x:t>
        </x:is>
      </x:c>
    </x:row>
    <x:row r="37">
      <x:c r="A37" s="13" t="inlineStr">
        <x:is>
          <x:t xml:space="preserve">RD-03</x:t>
        </x:is>
      </x:c>
      <x:c r="B37" s="15" t="inlineStr">
        <x:is>
          <x:t xml:space="preserve">Peserta 03</x:t>
        </x:is>
      </x:c>
      <x:c r="C37" s="15" t="inlineStr">
        <x:is>
          <x:t xml:space="preserve">Admin Operasional</x:t>
        </x:is>
      </x:c>
      <x:c r="D37" s="15" t="inlineStr">
        <x:is>
          <x:t xml:space="preserve">Program</x:t>
        </x:is>
      </x:c>
      <x:c r="E37" s="15" t="n">
        <x:v>100</x:v>
      </x:c>
      <x:c r="F37" s="15" t="n">
        <x:v>5</x:v>
      </x:c>
      <x:c r="G37" s="15" t="n">
        <x:v>4</x:v>
      </x:c>
      <x:c r="H37" s="15" t="n">
        <x:v>4</x:v>
      </x:c>
      <x:c r="I37" s="15" t="n">
        <x:v>5</x:v>
      </x:c>
      <x:c r="J37" s="15" t="n">
        <x:v>5</x:v>
      </x:c>
      <x:c r="K37" s="15" t="n">
        <x:v>4</x:v>
      </x:c>
      <x:c r="L37" s="15" t="n">
        <x:v>4</x:v>
      </x:c>
      <x:c r="M37" s="15" t="n">
        <x:v>4</x:v>
      </x:c>
      <x:c r="N37" s="15" t="n">
        <x:v>4</x:v>
      </x:c>
      <x:c r="O37" s="15" t="n">
        <x:v>5</x:v>
      </x:c>
      <x:c r="P37" s="15" t="n">
        <x:v>5</x:v>
      </x:c>
      <x:c r="Q37" s="15" t="n">
        <x:v>9</x:v>
      </x:c>
      <x:c r="R37" s="15" t="inlineStr">
        <x:is>
          <x:t xml:space="preserve">Latihan membantu memahami konteks kerja.</x:t>
        </x:is>
      </x:c>
      <x:c r="S37" s="15" t="inlineStr">
        <x:is>
          <x:t xml:space="preserve">Durasi tanya jawab bisa diperpanjang.</x:t>
        </x:is>
      </x:c>
      <x:c r="T37" s="15" t="inlineStr">
        <x:is>
          <x:t xml:space="preserve">Role play lanjutan.</x:t>
        </x:is>
      </x:c>
    </x:row>
    <x:row r="38">
      <x:c r="A38" s="13" t="inlineStr">
        <x:is>
          <x:t xml:space="preserve">RD-04</x:t>
        </x:is>
      </x:c>
      <x:c r="B38" s="15" t="inlineStr">
        <x:is>
          <x:t xml:space="preserve">Peserta 04</x:t>
        </x:is>
      </x:c>
      <x:c r="C38" s="15" t="inlineStr">
        <x:is>
          <x:t xml:space="preserve">Program Officer</x:t>
        </x:is>
      </x:c>
      <x:c r="D38" s="15" t="inlineStr">
        <x:is>
          <x:t xml:space="preserve">Komunitas</x:t>
        </x:is>
      </x:c>
      <x:c r="E38" s="15" t="n">
        <x:v>100</x:v>
      </x:c>
      <x:c r="F38" s="15" t="n">
        <x:v>4</x:v>
      </x:c>
      <x:c r="G38" s="15" t="n">
        <x:v>4</x:v>
      </x:c>
      <x:c r="H38" s="15" t="n">
        <x:v>5</x:v>
      </x:c>
      <x:c r="I38" s="15" t="n">
        <x:v>5</x:v>
      </x:c>
      <x:c r="J38" s="15" t="n">
        <x:v>4</x:v>
      </x:c>
      <x:c r="K38" s="15" t="n">
        <x:v>4</x:v>
      </x:c>
      <x:c r="L38" s="15" t="n">
        <x:v>4</x:v>
      </x:c>
      <x:c r="M38" s="15" t="n">
        <x:v>5</x:v>
      </x:c>
      <x:c r="N38" s="15" t="n">
        <x:v>4</x:v>
      </x:c>
      <x:c r="O38" s="15" t="n">
        <x:v>4</x:v>
      </x:c>
      <x:c r="P38" s="15" t="n">
        <x:v>4</x:v>
      </x:c>
      <x:c r="Q38" s="15" t="n">
        <x:v>8</x:v>
      </x:c>
      <x:c r="R38" s="15" t="inlineStr">
        <x:is>
          <x:t xml:space="preserve">Interaksi cukup baik dan contoh aplikatif.</x:t>
        </x:is>
      </x:c>
      <x:c r="S38" s="15" t="inlineStr">
        <x:is>
          <x:t xml:space="preserve">Akan lebih baik jika ada pre-read singkat.</x:t>
        </x:is>
      </x:c>
      <x:c r="T38" s="15" t="inlineStr">
        <x:is>
          <x:t xml:space="preserve">Workshop follow-up message.</x:t>
        </x:is>
      </x:c>
    </x:row>
    <x:row r="39">
      <x:c r="A39" s="13" t="inlineStr">
        <x:is>
          <x:t xml:space="preserve">RD-05</x:t>
        </x:is>
      </x:c>
      <x:c r="B39" s="15" t="inlineStr">
        <x:is>
          <x:t xml:space="preserve">Peserta 05</x:t>
        </x:is>
      </x:c>
      <x:c r="C39" s="15" t="inlineStr">
        <x:is>
          <x:t xml:space="preserve">Community Officer</x:t>
        </x:is>
      </x:c>
      <x:c r="D39" s="15" t="inlineStr">
        <x:is>
          <x:t xml:space="preserve">Support</x:t>
        </x:is>
      </x:c>
      <x:c r="E39" s="15" t="n">
        <x:v>100</x:v>
      </x:c>
      <x:c r="F39" s="15" t="n">
        <x:v>5</x:v>
      </x:c>
      <x:c r="G39" s="15" t="n">
        <x:v>5</x:v>
      </x:c>
      <x:c r="H39" s="15" t="n">
        <x:v>5</x:v>
      </x:c>
      <x:c r="I39" s="15" t="n">
        <x:v>5</x:v>
      </x:c>
      <x:c r="J39" s="15" t="n">
        <x:v>5</x:v>
      </x:c>
      <x:c r="K39" s="15" t="n">
        <x:v>5</x:v>
      </x:c>
      <x:c r="L39" s="15" t="n">
        <x:v>4</x:v>
      </x:c>
      <x:c r="M39" s="15" t="n">
        <x:v>5</x:v>
      </x:c>
      <x:c r="N39" s="15" t="n">
        <x:v>4</x:v>
      </x:c>
      <x:c r="O39" s="15" t="n">
        <x:v>5</x:v>
      </x:c>
      <x:c r="P39" s="15" t="n">
        <x:v>5</x:v>
      </x:c>
      <x:c r="Q39" s="15" t="n">
        <x:v>10</x:v>
      </x:c>
      <x:c r="R39" s="15" t="inlineStr">
        <x:is>
          <x:t xml:space="preserve">Sangat relevan dengan kebutuhan tim layanan.</x:t>
        </x:is>
      </x:c>
      <x:c r="S39" s="15" t="inlineStr">
        <x:is>
          <x:t xml:space="preserve">Tidak ada catatan mayor.</x:t>
        </x:is>
      </x:c>
      <x:c r="T39" s="15" t="inlineStr">
        <x:is>
          <x:t xml:space="preserve">Batch lanjutan: Oral Communication.</x:t>
        </x:is>
      </x:c>
    </x:row>
    <x:row r="40">
      <x:c r="A40" s="13" t="inlineStr">
        <x:is>
          <x:t xml:space="preserve">RD-06</x:t>
        </x:is>
      </x:c>
      <x:c r="B40" s="15" t="inlineStr">
        <x:is>
          <x:t xml:space="preserve">Peserta 06</x:t>
        </x:is>
      </x:c>
      <x:c r="C40" s="15" t="inlineStr">
        <x:is>
          <x:t xml:space="preserve">Konselor</x:t>
        </x:is>
      </x:c>
      <x:c r="D40" s="15" t="inlineStr">
        <x:is>
          <x:t xml:space="preserve">Layanan Klien</x:t>
        </x:is>
      </x:c>
      <x:c r="E40" s="15" t="n">
        <x:v>100</x:v>
      </x:c>
      <x:c r="F40" s="15" t="n">
        <x:v>4</x:v>
      </x:c>
      <x:c r="G40" s="15" t="n">
        <x:v>4</x:v>
      </x:c>
      <x:c r="H40" s="15" t="n">
        <x:v>4</x:v>
      </x:c>
      <x:c r="I40" s="15" t="n">
        <x:v>4</x:v>
      </x:c>
      <x:c r="J40" s="15" t="n">
        <x:v>4</x:v>
      </x:c>
      <x:c r="K40" s="15" t="n">
        <x:v>4</x:v>
      </x:c>
      <x:c r="L40" s="15" t="n">
        <x:v>4</x:v>
      </x:c>
      <x:c r="M40" s="15" t="n">
        <x:v>4</x:v>
      </x:c>
      <x:c r="N40" s="15" t="n">
        <x:v>4</x:v>
      </x:c>
      <x:c r="O40" s="15" t="n">
        <x:v>4</x:v>
      </x:c>
      <x:c r="P40" s="15" t="n">
        <x:v>4</x:v>
      </x:c>
      <x:c r="Q40" s="15" t="n">
        <x:v>8</x:v>
      </x:c>
      <x:c r="R40" s="15" t="inlineStr">
        <x:is>
          <x:t xml:space="preserve">Materi dasar jelas dan sistematis.</x:t>
        </x:is>
      </x:c>
      <x:c r="S40" s="15" t="inlineStr">
        <x:is>
          <x:t xml:space="preserve">Tambahkan worksheet tindak lanjut.</x:t>
        </x:is>
      </x:c>
      <x:c r="T40" s="15" t="inlineStr">
        <x:is>
          <x:t xml:space="preserve">Microlearning recap.</x:t>
        </x:is>
      </x:c>
    </x:row>
    <x:row r="41">
      <x:c r="A41" s="13" t="inlineStr">
        <x:is>
          <x:t xml:space="preserve">RD-07</x:t>
        </x:is>
      </x:c>
      <x:c r="B41" s="15" t="inlineStr">
        <x:is>
          <x:t xml:space="preserve">Peserta 07</x:t>
        </x:is>
      </x:c>
      <x:c r="C41" s="15" t="inlineStr">
        <x:is>
          <x:t xml:space="preserve">Client Experience</x:t>
        </x:is>
      </x:c>
      <x:c r="D41" s="15" t="inlineStr">
        <x:is>
          <x:t xml:space="preserve">Operasional</x:t>
        </x:is>
      </x:c>
      <x:c r="E41" s="15" t="n">
        <x:v>100</x:v>
      </x:c>
      <x:c r="F41" s="15" t="n">
        <x:v>5</x:v>
      </x:c>
      <x:c r="G41" s="15" t="n">
        <x:v>4</x:v>
      </x:c>
      <x:c r="H41" s="15" t="n">
        <x:v>5</x:v>
      </x:c>
      <x:c r="I41" s="15" t="n">
        <x:v>5</x:v>
      </x:c>
      <x:c r="J41" s="15" t="n">
        <x:v>4</x:v>
      </x:c>
      <x:c r="K41" s="15" t="n">
        <x:v>4</x:v>
      </x:c>
      <x:c r="L41" s="15" t="n">
        <x:v>4</x:v>
      </x:c>
      <x:c r="M41" s="15" t="n">
        <x:v>4</x:v>
      </x:c>
      <x:c r="N41" s="15" t="n">
        <x:v>4</x:v>
      </x:c>
      <x:c r="O41" s="15" t="n">
        <x:v>5</x:v>
      </x:c>
      <x:c r="P41" s="15" t="n">
        <x:v>5</x:v>
      </x:c>
      <x:c r="Q41" s="15" t="n">
        <x:v>9</x:v>
      </x:c>
      <x:c r="R41" s="15" t="inlineStr">
        <x:is>
          <x:t xml:space="preserve">Pembawaan fasilitator engaging.</x:t>
        </x:is>
      </x:c>
      <x:c r="S41" s="15" t="inlineStr">
        <x:is>
          <x:t xml:space="preserve">Perlu lebih banyak simulasi telepon/WA profesional.</x:t>
        </x:is>
      </x:c>
      <x:c r="T41" s="15" t="inlineStr">
        <x:is>
          <x:t xml:space="preserve">Template komunikasi pelanggan.</x:t>
        </x:is>
      </x:c>
    </x:row>
    <x:row r="42">
      <x:c r="A42" s="13" t="inlineStr">
        <x:is>
          <x:t xml:space="preserve">RD-08</x:t>
        </x:is>
      </x:c>
      <x:c r="B42" s="15" t="inlineStr">
        <x:is>
          <x:t xml:space="preserve">Peserta 08</x:t>
        </x:is>
      </x:c>
      <x:c r="C42" s="15" t="inlineStr">
        <x:is>
          <x:t xml:space="preserve">Admin Operasional</x:t>
        </x:is>
      </x:c>
      <x:c r="D42" s="15" t="inlineStr">
        <x:is>
          <x:t xml:space="preserve">Program</x:t>
        </x:is>
      </x:c>
      <x:c r="E42" s="15" t="n">
        <x:v>95</x:v>
      </x:c>
      <x:c r="F42" s="15" t="n">
        <x:v>4</x:v>
      </x:c>
      <x:c r="G42" s="15" t="n">
        <x:v>4</x:v>
      </x:c>
      <x:c r="H42" s="15" t="n">
        <x:v>4</x:v>
      </x:c>
      <x:c r="I42" s="15" t="n">
        <x:v>4</x:v>
      </x:c>
      <x:c r="J42" s="15" t="n">
        <x:v>4</x:v>
      </x:c>
      <x:c r="K42" s="15" t="n">
        <x:v>3</x:v>
      </x:c>
      <x:c r="L42" s="15" t="n">
        <x:v>4</x:v>
      </x:c>
      <x:c r="M42" s="15" t="n">
        <x:v>4</x:v>
      </x:c>
      <x:c r="N42" s="15" t="n">
        <x:v>3</x:v>
      </x:c>
      <x:c r="O42" s="15" t="n">
        <x:v>4</x:v>
      </x:c>
      <x:c r="P42" s="15" t="n">
        <x:v>4</x:v>
      </x:c>
      <x:c r="Q42" s="15" t="n">
        <x:v>8</x:v>
      </x:c>
      <x:c r="R42" s="15" t="inlineStr">
        <x:is>
          <x:t xml:space="preserve">Materi mudah dipahami.</x:t>
        </x:is>
      </x:c>
      <x:c r="S42" s="15" t="inlineStr">
        <x:is>
          <x:t xml:space="preserve">Teknis breakout room sempat lambat.</x:t>
        </x:is>
      </x:c>
      <x:c r="T42" s="15" t="inlineStr">
        <x:is>
          <x:t xml:space="preserve">Refresh technical guideline Zoom.</x:t>
        </x:is>
      </x:c>
    </x:row>
    <x:row r="43">
      <x:c r="A43" s="13" t="inlineStr">
        <x:is>
          <x:t xml:space="preserve">RD-09</x:t>
        </x:is>
      </x:c>
      <x:c r="B43" s="15" t="inlineStr">
        <x:is>
          <x:t xml:space="preserve">Peserta 09</x:t>
        </x:is>
      </x:c>
      <x:c r="C43" s="15" t="inlineStr">
        <x:is>
          <x:t xml:space="preserve">Program Officer</x:t>
        </x:is>
      </x:c>
      <x:c r="D43" s="15" t="inlineStr">
        <x:is>
          <x:t xml:space="preserve">Komunitas</x:t>
        </x:is>
      </x:c>
      <x:c r="E43" s="15" t="n">
        <x:v>100</x:v>
      </x:c>
      <x:c r="F43" s="15" t="n">
        <x:v>5</x:v>
      </x:c>
      <x:c r="G43" s="15" t="n">
        <x:v>5</x:v>
      </x:c>
      <x:c r="H43" s="15" t="n">
        <x:v>5</x:v>
      </x:c>
      <x:c r="I43" s="15" t="n">
        <x:v>4</x:v>
      </x:c>
      <x:c r="J43" s="15" t="n">
        <x:v>4</x:v>
      </x:c>
      <x:c r="K43" s="15" t="n">
        <x:v>4</x:v>
      </x:c>
      <x:c r="L43" s="15" t="n">
        <x:v>5</x:v>
      </x:c>
      <x:c r="M43" s="15" t="n">
        <x:v>4</x:v>
      </x:c>
      <x:c r="N43" s="15" t="n">
        <x:v>4</x:v>
      </x:c>
      <x:c r="O43" s="15" t="n">
        <x:v>5</x:v>
      </x:c>
      <x:c r="P43" s="15" t="n">
        <x:v>5</x:v>
      </x:c>
      <x:c r="Q43" s="15" t="n">
        <x:v>10</x:v>
      </x:c>
      <x:c r="R43" s="15" t="inlineStr">
        <x:is>
          <x:t xml:space="preserve">Contoh komunikasi kerja sangat membantu.</x:t>
        </x:is>
      </x:c>
      <x:c r="S43" s="15" t="inlineStr">
        <x:is>
          <x:t xml:space="preserve">Mungkin bisa tambah contoh email kerja.</x:t>
        </x:is>
      </x:c>
      <x:c r="T43" s="15" t="inlineStr">
        <x:is>
          <x:t xml:space="preserve">Bank studi kasus.</x:t>
        </x:is>
      </x:c>
    </x:row>
    <x:row r="44">
      <x:c r="A44" s="13" t="inlineStr">
        <x:is>
          <x:t xml:space="preserve">RD-10</x:t>
        </x:is>
      </x:c>
      <x:c r="B44" s="15" t="inlineStr">
        <x:is>
          <x:t xml:space="preserve">Peserta 10</x:t>
        </x:is>
      </x:c>
      <x:c r="C44" s="15" t="inlineStr">
        <x:is>
          <x:t xml:space="preserve">Community Officer</x:t>
        </x:is>
      </x:c>
      <x:c r="D44" s="15" t="inlineStr">
        <x:is>
          <x:t xml:space="preserve">Support</x:t>
        </x:is>
      </x:c>
      <x:c r="E44" s="15" t="n">
        <x:v>100</x:v>
      </x:c>
      <x:c r="F44" s="15" t="n">
        <x:v>4</x:v>
      </x:c>
      <x:c r="G44" s="15" t="n">
        <x:v>4</x:v>
      </x:c>
      <x:c r="H44" s="15" t="n">
        <x:v>4</x:v>
      </x:c>
      <x:c r="I44" s="15" t="n">
        <x:v>4</x:v>
      </x:c>
      <x:c r="J44" s="15" t="n">
        <x:v>4</x:v>
      </x:c>
      <x:c r="K44" s="15" t="n">
        <x:v>4</x:v>
      </x:c>
      <x:c r="L44" s="15" t="n">
        <x:v>4</x:v>
      </x:c>
      <x:c r="M44" s="15" t="n">
        <x:v>4</x:v>
      </x:c>
      <x:c r="N44" s="15" t="n">
        <x:v>4</x:v>
      </x:c>
      <x:c r="O44" s="15" t="n">
        <x:v>4</x:v>
      </x:c>
      <x:c r="P44" s="15" t="n">
        <x:v>4</x:v>
      </x:c>
      <x:c r="Q44" s="15" t="n">
        <x:v>8</x:v>
      </x:c>
      <x:c r="R44" s="15" t="inlineStr">
        <x:is>
          <x:t xml:space="preserve">Struktur sesi rapi.</x:t>
        </x:is>
      </x:c>
      <x:c r="S44" s="15" t="inlineStr">
        <x:is>
          <x:t xml:space="preserve">Perlu rangkuman di akhir sesi.</x:t>
        </x:is>
      </x:c>
      <x:c r="T44" s="15" t="inlineStr">
        <x:is>
          <x:t xml:space="preserve">Checklist komunikasi kerja.</x:t>
        </x:is>
      </x:c>
    </x:row>
    <x:row r="45">
      <x:c r="A45" s="13" t="inlineStr">
        <x:is>
          <x:t xml:space="preserve">RD-11</x:t>
        </x:is>
      </x:c>
      <x:c r="B45" s="15" t="inlineStr">
        <x:is>
          <x:t xml:space="preserve">Peserta 11</x:t>
        </x:is>
      </x:c>
      <x:c r="C45" s="15" t="inlineStr">
        <x:is>
          <x:t xml:space="preserve">Konselor</x:t>
        </x:is>
      </x:c>
      <x:c r="D45" s="15" t="inlineStr">
        <x:is>
          <x:t xml:space="preserve">Layanan Klien</x:t>
        </x:is>
      </x:c>
      <x:c r="E45" s="15" t="n">
        <x:v>100</x:v>
      </x:c>
      <x:c r="F45" s="15" t="n">
        <x:v>5</x:v>
      </x:c>
      <x:c r="G45" s="15" t="n">
        <x:v>5</x:v>
      </x:c>
      <x:c r="H45" s="15" t="n">
        <x:v>5</x:v>
      </x:c>
      <x:c r="I45" s="15" t="n">
        <x:v>5</x:v>
      </x:c>
      <x:c r="J45" s="15" t="n">
        <x:v>5</x:v>
      </x:c>
      <x:c r="K45" s="15" t="n">
        <x:v>4</x:v>
      </x:c>
      <x:c r="L45" s="15" t="n">
        <x:v>5</x:v>
      </x:c>
      <x:c r="M45" s="15" t="n">
        <x:v>4</x:v>
      </x:c>
      <x:c r="N45" s="15" t="n">
        <x:v>4</x:v>
      </x:c>
      <x:c r="O45" s="15" t="n">
        <x:v>5</x:v>
      </x:c>
      <x:c r="P45" s="15" t="n">
        <x:v>5</x:v>
      </x:c>
      <x:c r="Q45" s="15" t="n">
        <x:v>10</x:v>
      </x:c>
      <x:c r="R45" s="15" t="inlineStr">
        <x:is>
          <x:t xml:space="preserve">Simulasi membuat peserta aktif.</x:t>
        </x:is>
      </x:c>
      <x:c r="S45" s="15" t="inlineStr">
        <x:is>
          <x:t xml:space="preserve">Tidak ada catatan mayor.</x:t>
        </x:is>
      </x:c>
      <x:c r="T45" s="15" t="inlineStr">
        <x:is>
          <x:t xml:space="preserve">Program lanjutan untuk supervisor.</x:t>
        </x:is>
      </x:c>
    </x:row>
    <x:row r="46">
      <x:c r="A46" s="13" t="inlineStr">
        <x:is>
          <x:t xml:space="preserve">RD-12</x:t>
        </x:is>
      </x:c>
      <x:c r="B46" s="15" t="inlineStr">
        <x:is>
          <x:t xml:space="preserve">Peserta 12</x:t>
        </x:is>
      </x:c>
      <x:c r="C46" s="15" t="inlineStr">
        <x:is>
          <x:t xml:space="preserve">Client Experience</x:t>
        </x:is>
      </x:c>
      <x:c r="D46" s="15" t="inlineStr">
        <x:is>
          <x:t xml:space="preserve">Operasional</x:t>
        </x:is>
      </x:c>
      <x:c r="E46" s="15" t="n">
        <x:v>100</x:v>
      </x:c>
      <x:c r="F46" s="15" t="n">
        <x:v>4</x:v>
      </x:c>
      <x:c r="G46" s="15" t="n">
        <x:v>4</x:v>
      </x:c>
      <x:c r="H46" s="15" t="n">
        <x:v>4</x:v>
      </x:c>
      <x:c r="I46" s="15" t="n">
        <x:v>5</x:v>
      </x:c>
      <x:c r="J46" s="15" t="n">
        <x:v>4</x:v>
      </x:c>
      <x:c r="K46" s="15" t="n">
        <x:v>4</x:v>
      </x:c>
      <x:c r="L46" s="15" t="n">
        <x:v>4</x:v>
      </x:c>
      <x:c r="M46" s="15" t="n">
        <x:v>4</x:v>
      </x:c>
      <x:c r="N46" s="15" t="n">
        <x:v>4</x:v>
      </x:c>
      <x:c r="O46" s="15" t="n">
        <x:v>4</x:v>
      </x:c>
      <x:c r="P46" s="15" t="n">
        <x:v>4</x:v>
      </x:c>
      <x:c r="Q46" s="15" t="n">
        <x:v>9</x:v>
      </x:c>
      <x:c r="R46" s="15" t="inlineStr">
        <x:is>
          <x:t xml:space="preserve">Bahasa penyampaian jelas.</x:t>
        </x:is>
      </x:c>
      <x:c r="S46" s="15" t="inlineStr">
        <x:is>
          <x:t xml:space="preserve">Slide bisa dibuat sedikit lebih ringkas.</x:t>
        </x:is>
      </x:c>
      <x:c r="T46" s="15" t="inlineStr">
        <x:is>
          <x:t xml:space="preserve">Ringkasan materi pascakelas.</x:t>
        </x:is>
      </x:c>
    </x:row>
    <x:row r="47">
      <x:c r="A47" s="13" t="inlineStr">
        <x:is>
          <x:t xml:space="preserve">RD-13</x:t>
        </x:is>
      </x:c>
      <x:c r="B47" s="15" t="inlineStr">
        <x:is>
          <x:t xml:space="preserve">Peserta 13</x:t>
        </x:is>
      </x:c>
      <x:c r="C47" s="15" t="inlineStr">
        <x:is>
          <x:t xml:space="preserve">Admin Operasional</x:t>
        </x:is>
      </x:c>
      <x:c r="D47" s="15" t="inlineStr">
        <x:is>
          <x:t xml:space="preserve">Program</x:t>
        </x:is>
      </x:c>
      <x:c r="E47" s="15" t="n">
        <x:v>100</x:v>
      </x:c>
      <x:c r="F47" s="15" t="n">
        <x:v>5</x:v>
      </x:c>
      <x:c r="G47" s="15" t="n">
        <x:v>4</x:v>
      </x:c>
      <x:c r="H47" s="15" t="n">
        <x:v>5</x:v>
      </x:c>
      <x:c r="I47" s="15" t="n">
        <x:v>5</x:v>
      </x:c>
      <x:c r="J47" s="15" t="n">
        <x:v>4</x:v>
      </x:c>
      <x:c r="K47" s="15" t="n">
        <x:v>5</x:v>
      </x:c>
      <x:c r="L47" s="15" t="n">
        <x:v>4</x:v>
      </x:c>
      <x:c r="M47" s="15" t="n">
        <x:v>4</x:v>
      </x:c>
      <x:c r="N47" s="15" t="n">
        <x:v>4</x:v>
      </x:c>
      <x:c r="O47" s="15" t="n">
        <x:v>5</x:v>
      </x:c>
      <x:c r="P47" s="15" t="n">
        <x:v>5</x:v>
      </x:c>
      <x:c r="Q47" s="15" t="n">
        <x:v>9</x:v>
      </x:c>
      <x:c r="R47" s="15" t="inlineStr">
        <x:is>
          <x:t xml:space="preserve">Ada banyak insight praktis.</x:t>
        </x:is>
      </x:c>
      <x:c r="S47" s="15" t="inlineStr">
        <x:is>
          <x:t xml:space="preserve">Perlu latihan follow-up message.</x:t>
        </x:is>
      </x:c>
      <x:c r="T47" s="15" t="inlineStr">
        <x:is>
          <x:t xml:space="preserve">Simulasi customer response.</x:t>
        </x:is>
      </x:c>
    </x:row>
    <x:row r="48">
      <x:c r="A48" s="13" t="inlineStr">
        <x:is>
          <x:t xml:space="preserve">RD-14</x:t>
        </x:is>
      </x:c>
      <x:c r="B48" s="15" t="inlineStr">
        <x:is>
          <x:t xml:space="preserve">Peserta 14</x:t>
        </x:is>
      </x:c>
      <x:c r="C48" s="15" t="inlineStr">
        <x:is>
          <x:t xml:space="preserve">Program Officer</x:t>
        </x:is>
      </x:c>
      <x:c r="D48" s="15" t="inlineStr">
        <x:is>
          <x:t xml:space="preserve">Komunitas</x:t>
        </x:is>
      </x:c>
      <x:c r="E48" s="15" t="n">
        <x:v>100</x:v>
      </x:c>
      <x:c r="F48" s="15" t="n">
        <x:v>4</x:v>
      </x:c>
      <x:c r="G48" s="15" t="n">
        <x:v>4</x:v>
      </x:c>
      <x:c r="H48" s="15" t="n">
        <x:v>4</x:v>
      </x:c>
      <x:c r="I48" s="15" t="n">
        <x:v>4</x:v>
      </x:c>
      <x:c r="J48" s="15" t="n">
        <x:v>4</x:v>
      </x:c>
      <x:c r="K48" s="15" t="n">
        <x:v>4</x:v>
      </x:c>
      <x:c r="L48" s="15" t="n">
        <x:v>4</x:v>
      </x:c>
      <x:c r="M48" s="15" t="n">
        <x:v>4</x:v>
      </x:c>
      <x:c r="N48" s="15" t="n">
        <x:v>4</x:v>
      </x:c>
      <x:c r="O48" s="15" t="n">
        <x:v>4</x:v>
      </x:c>
      <x:c r="P48" s="15" t="n">
        <x:v>4</x:v>
      </x:c>
      <x:c r="Q48" s="15" t="n">
        <x:v>8</x:v>
      </x:c>
      <x:c r="R48" s="15" t="inlineStr">
        <x:is>
          <x:t xml:space="preserve">Materi cocok untuk level staf awal.</x:t>
        </x:is>
      </x:c>
      <x:c r="S48" s="15" t="inlineStr">
        <x:is>
          <x:t xml:space="preserve">Waktu diskusi kelompok dapat diperpanjang.</x:t>
        </x:is>
      </x:c>
      <x:c r="T48" s="15" t="inlineStr">
        <x:is>
          <x:t xml:space="preserve">Worksheet action plan.</x:t>
        </x:is>
      </x:c>
    </x:row>
    <x:row r="49">
      <x:c r="A49" s="13" t="inlineStr">
        <x:is>
          <x:t xml:space="preserve">RD-15</x:t>
        </x:is>
      </x:c>
      <x:c r="B49" s="15" t="inlineStr">
        <x:is>
          <x:t xml:space="preserve">Peserta 15</x:t>
        </x:is>
      </x:c>
      <x:c r="C49" s="15" t="inlineStr">
        <x:is>
          <x:t xml:space="preserve">Community Officer</x:t>
        </x:is>
      </x:c>
      <x:c r="D49" s="15" t="inlineStr">
        <x:is>
          <x:t xml:space="preserve">Support</x:t>
        </x:is>
      </x:c>
      <x:c r="E49" s="15" t="n">
        <x:v>100</x:v>
      </x:c>
      <x:c r="F49" s="15" t="n">
        <x:v>5</x:v>
      </x:c>
      <x:c r="G49" s="15" t="n">
        <x:v>5</x:v>
      </x:c>
      <x:c r="H49" s="15" t="n">
        <x:v>5</x:v>
      </x:c>
      <x:c r="I49" s="15" t="n">
        <x:v>5</x:v>
      </x:c>
      <x:c r="J49" s="15" t="n">
        <x:v>4</x:v>
      </x:c>
      <x:c r="K49" s="15" t="n">
        <x:v>4</x:v>
      </x:c>
      <x:c r="L49" s="15" t="n">
        <x:v>5</x:v>
      </x:c>
      <x:c r="M49" s="15" t="n">
        <x:v>5</x:v>
      </x:c>
      <x:c r="N49" s="15" t="n">
        <x:v>4</x:v>
      </x:c>
      <x:c r="O49" s="15" t="n">
        <x:v>5</x:v>
      </x:c>
      <x:c r="P49" s="15" t="n">
        <x:v>5</x:v>
      </x:c>
      <x:c r="Q49" s="15" t="n">
        <x:v>10</x:v>
      </x:c>
      <x:c r="R49" s="15" t="inlineStr">
        <x:is>
          <x:t xml:space="preserve">Fasilitator responsif terhadap pertanyaan.</x:t>
        </x:is>
      </x:c>
      <x:c r="S49" s="15" t="inlineStr">
        <x:is>
          <x:t xml:space="preserve">Tidak ada catatan mayor.</x:t>
        </x:is>
      </x:c>
      <x:c r="T49" s="15" t="inlineStr">
        <x:is>
          <x:t xml:space="preserve">Tidak ada.</x:t>
        </x:is>
      </x:c>
    </x:row>
    <x:row r="50">
      <x:c r="A50" s="13" t="inlineStr">
        <x:is>
          <x:t xml:space="preserve">RD-16</x:t>
        </x:is>
      </x:c>
      <x:c r="B50" s="15" t="inlineStr">
        <x:is>
          <x:t xml:space="preserve">Peserta 16</x:t>
        </x:is>
      </x:c>
      <x:c r="C50" s="15" t="inlineStr">
        <x:is>
          <x:t xml:space="preserve">Konselor</x:t>
        </x:is>
      </x:c>
      <x:c r="D50" s="15" t="inlineStr">
        <x:is>
          <x:t xml:space="preserve">Layanan Klien</x:t>
        </x:is>
      </x:c>
      <x:c r="E50" s="15" t="n">
        <x:v>100</x:v>
      </x:c>
      <x:c r="F50" s="15" t="n">
        <x:v>4</x:v>
      </x:c>
      <x:c r="G50" s="15" t="n">
        <x:v>4</x:v>
      </x:c>
      <x:c r="H50" s="15" t="n">
        <x:v>4</x:v>
      </x:c>
      <x:c r="I50" s="15" t="n">
        <x:v>4</x:v>
      </x:c>
      <x:c r="J50" s="15" t="n">
        <x:v>4</x:v>
      </x:c>
      <x:c r="K50" s="15" t="n">
        <x:v>4</x:v>
      </x:c>
      <x:c r="L50" s="15" t="n">
        <x:v>4</x:v>
      </x:c>
      <x:c r="M50" s="15" t="n">
        <x:v>4</x:v>
      </x:c>
      <x:c r="N50" s="15" t="n">
        <x:v>4</x:v>
      </x:c>
      <x:c r="O50" s="15" t="n">
        <x:v>4</x:v>
      </x:c>
      <x:c r="P50" s="15" t="n">
        <x:v>4</x:v>
      </x:c>
      <x:c r="Q50" s="15" t="n">
        <x:v>8</x:v>
      </x:c>
      <x:c r="R50" s="15" t="inlineStr">
        <x:is>
          <x:t xml:space="preserve">Pembahasan etika komunikasi bermanfaat.</x:t>
        </x:is>
      </x:c>
      <x:c r="S50" s="15" t="inlineStr">
        <x:is>
          <x:t xml:space="preserve">Tambah contoh kasus pelanggan sulit.</x:t>
        </x:is>
      </x:c>
      <x:c r="T50" s="15" t="inlineStr">
        <x:is>
          <x:t xml:space="preserve">FAQ komunikasi layanan.</x:t>
        </x:is>
      </x:c>
    </x:row>
    <x:row r="51">
      <x:c r="A51" s="13" t="inlineStr">
        <x:is>
          <x:t xml:space="preserve">RD-17</x:t>
        </x:is>
      </x:c>
      <x:c r="B51" s="15" t="inlineStr">
        <x:is>
          <x:t xml:space="preserve">Peserta 17</x:t>
        </x:is>
      </x:c>
      <x:c r="C51" s="15" t="inlineStr">
        <x:is>
          <x:t xml:space="preserve">Client Experience</x:t>
        </x:is>
      </x:c>
      <x:c r="D51" s="15" t="inlineStr">
        <x:is>
          <x:t xml:space="preserve">Operasional</x:t>
        </x:is>
      </x:c>
      <x:c r="E51" s="15" t="n">
        <x:v>100</x:v>
      </x:c>
      <x:c r="F51" s="15" t="n">
        <x:v>5</x:v>
      </x:c>
      <x:c r="G51" s="15" t="n">
        <x:v>5</x:v>
      </x:c>
      <x:c r="H51" s="15" t="n">
        <x:v>5</x:v>
      </x:c>
      <x:c r="I51" s="15" t="n">
        <x:v>5</x:v>
      </x:c>
      <x:c r="J51" s="15" t="n">
        <x:v>5</x:v>
      </x:c>
      <x:c r="K51" s="15" t="n">
        <x:v>4</x:v>
      </x:c>
      <x:c r="L51" s="15" t="n">
        <x:v>5</x:v>
      </x:c>
      <x:c r="M51" s="15" t="n">
        <x:v>4</x:v>
      </x:c>
      <x:c r="N51" s="15" t="n">
        <x:v>4</x:v>
      </x:c>
      <x:c r="O51" s="15" t="n">
        <x:v>5</x:v>
      </x:c>
      <x:c r="P51" s="15" t="n">
        <x:v>5</x:v>
      </x:c>
      <x:c r="Q51" s="15" t="n">
        <x:v>10</x:v>
      </x:c>
      <x:c r="R51" s="15" t="inlineStr">
        <x:is>
          <x:t xml:space="preserve">Kombinasi teori dan praktik seimbang.</x:t>
        </x:is>
      </x:c>
      <x:c r="S51" s="15" t="inlineStr">
        <x:is>
          <x:t xml:space="preserve">Butuh template komunikasi pascapelatihan.</x:t>
        </x:is>
      </x:c>
      <x:c r="T51" s="15" t="inlineStr">
        <x:is>
          <x:t xml:space="preserve">Pendampingan implementasi 30 hari.</x:t>
        </x:is>
      </x:c>
    </x:row>
    <x:row r="52">
      <x:c r="A52" s="13" t="inlineStr">
        <x:is>
          <x:t xml:space="preserve">RD-18</x:t>
        </x:is>
      </x:c>
      <x:c r="B52" s="15" t="inlineStr">
        <x:is>
          <x:t xml:space="preserve">Peserta 18</x:t>
        </x:is>
      </x:c>
      <x:c r="C52" s="15" t="inlineStr">
        <x:is>
          <x:t xml:space="preserve">Admin Operasional</x:t>
        </x:is>
      </x:c>
      <x:c r="D52" s="15" t="inlineStr">
        <x:is>
          <x:t xml:space="preserve">Program</x:t>
        </x:is>
      </x:c>
      <x:c r="E52" s="15" t="n">
        <x:v>100</x:v>
      </x:c>
      <x:c r="F52" s="15" t="n">
        <x:v>4</x:v>
      </x:c>
      <x:c r="G52" s="15" t="n">
        <x:v>4</x:v>
      </x:c>
      <x:c r="H52" s="15" t="n">
        <x:v>4</x:v>
      </x:c>
      <x:c r="I52" s="15" t="n">
        <x:v>4</x:v>
      </x:c>
      <x:c r="J52" s="15" t="n">
        <x:v>4</x:v>
      </x:c>
      <x:c r="K52" s="15" t="n">
        <x:v>4</x:v>
      </x:c>
      <x:c r="L52" s="15" t="n">
        <x:v>4</x:v>
      </x:c>
      <x:c r="M52" s="15" t="n">
        <x:v>4</x:v>
      </x:c>
      <x:c r="N52" s="15" t="n">
        <x:v>4</x:v>
      </x:c>
      <x:c r="O52" s="15" t="n">
        <x:v>4</x:v>
      </x:c>
      <x:c r="P52" s="15" t="n">
        <x:v>4</x:v>
      </x:c>
      <x:c r="Q52" s="15" t="n">
        <x:v>8</x:v>
      </x:c>
      <x:c r="R52" s="15" t="inlineStr">
        <x:is>
          <x:t xml:space="preserve">Handout memudahkan review.</x:t>
        </x:is>
      </x:c>
      <x:c r="S52" s="15" t="inlineStr">
        <x:is>
          <x:t xml:space="preserve">Materi bisa dibagi sebelum sesi.</x:t>
        </x:is>
      </x:c>
      <x:c r="T52" s="15" t="inlineStr">
        <x:is>
          <x:t xml:space="preserve">Rekaman sesi.</x:t>
        </x:is>
      </x:c>
    </x:row>
    <x:row r="53">
      <x:c r="A53" s="13" t="inlineStr">
        <x:is>
          <x:t xml:space="preserve">RD-19</x:t>
        </x:is>
      </x:c>
      <x:c r="B53" s="15" t="inlineStr">
        <x:is>
          <x:t xml:space="preserve">Peserta 19</x:t>
        </x:is>
      </x:c>
      <x:c r="C53" s="15" t="inlineStr">
        <x:is>
          <x:t xml:space="preserve">Program Officer</x:t>
        </x:is>
      </x:c>
      <x:c r="D53" s="15" t="inlineStr">
        <x:is>
          <x:t xml:space="preserve">Komunitas</x:t>
        </x:is>
      </x:c>
      <x:c r="E53" s="15" t="n">
        <x:v>100</x:v>
      </x:c>
      <x:c r="F53" s="15" t="n">
        <x:v>5</x:v>
      </x:c>
      <x:c r="G53" s="15" t="n">
        <x:v>4</x:v>
      </x:c>
      <x:c r="H53" s="15" t="n">
        <x:v>5</x:v>
      </x:c>
      <x:c r="I53" s="15" t="n">
        <x:v>5</x:v>
      </x:c>
      <x:c r="J53" s="15" t="n">
        <x:v>4</x:v>
      </x:c>
      <x:c r="K53" s="15" t="n">
        <x:v>4</x:v>
      </x:c>
      <x:c r="L53" s="15" t="n">
        <x:v>4</x:v>
      </x:c>
      <x:c r="M53" s="15" t="n">
        <x:v>4</x:v>
      </x:c>
      <x:c r="N53" s="15" t="n">
        <x:v>4</x:v>
      </x:c>
      <x:c r="O53" s="15" t="n">
        <x:v>5</x:v>
      </x:c>
      <x:c r="P53" s="15" t="n">
        <x:v>5</x:v>
      </x:c>
      <x:c r="Q53" s="15" t="n">
        <x:v>9</x:v>
      </x:c>
      <x:c r="R53" s="15" t="inlineStr">
        <x:is>
          <x:t xml:space="preserve">Topik active listening sangat kuat.</x:t>
        </x:is>
      </x:c>
      <x:c r="S53" s="15" t="inlineStr">
        <x:is>
          <x:t xml:space="preserve">Tambahkan praktik klarifikasi kebutuhan.</x:t>
        </x:is>
      </x:c>
      <x:c r="T53" s="15" t="inlineStr">
        <x:is>
          <x:t xml:space="preserve">Pelatihan complaint handling dasar.</x:t>
        </x:is>
      </x:c>
    </x:row>
    <x:row r="54">
      <x:c r="A54" s="13" t="inlineStr">
        <x:is>
          <x:t xml:space="preserve">RD-20</x:t>
        </x:is>
      </x:c>
      <x:c r="B54" s="15" t="inlineStr">
        <x:is>
          <x:t xml:space="preserve">Peserta 20</x:t>
        </x:is>
      </x:c>
      <x:c r="C54" s="15" t="inlineStr">
        <x:is>
          <x:t xml:space="preserve">Community Officer</x:t>
        </x:is>
      </x:c>
      <x:c r="D54" s="15" t="inlineStr">
        <x:is>
          <x:t xml:space="preserve">Support</x:t>
        </x:is>
      </x:c>
      <x:c r="E54" s="15" t="n">
        <x:v>95</x:v>
      </x:c>
      <x:c r="F54" s="15" t="n">
        <x:v>4</x:v>
      </x:c>
      <x:c r="G54" s="15" t="n">
        <x:v>4</x:v>
      </x:c>
      <x:c r="H54" s="15" t="n">
        <x:v>4</x:v>
      </x:c>
      <x:c r="I54" s="15" t="n">
        <x:v>4</x:v>
      </x:c>
      <x:c r="J54" s="15" t="n">
        <x:v>4</x:v>
      </x:c>
      <x:c r="K54" s="15" t="n">
        <x:v>3</x:v>
      </x:c>
      <x:c r="L54" s="15" t="n">
        <x:v>4</x:v>
      </x:c>
      <x:c r="M54" s="15" t="n">
        <x:v>4</x:v>
      </x:c>
      <x:c r="N54" s="15" t="n">
        <x:v>4</x:v>
      </x:c>
      <x:c r="O54" s="15" t="n">
        <x:v>4</x:v>
      </x:c>
      <x:c r="P54" s="15" t="n">
        <x:v>4</x:v>
      </x:c>
      <x:c r="Q54" s="15" t="n">
        <x:v>8</x:v>
      </x:c>
      <x:c r="R54" s="15" t="inlineStr">
        <x:is>
          <x:t xml:space="preserve">Program terasa relevan dengan kerja harian.</x:t>
        </x:is>
      </x:c>
      <x:c r="S54" s="15" t="inlineStr">
        <x:is>
          <x:t xml:space="preserve">Sedikit lebih cepat saat pembukaan.</x:t>
        </x:is>
      </x:c>
      <x:c r="T54" s="15" t="inlineStr">
        <x:is>
          <x:t xml:space="preserve">Tidak ada.</x:t>
        </x:is>
      </x:c>
    </x:row>
    <x:row r="55">
      <x:c r="A55" s="13" t="inlineStr">
        <x:is>
          <x:t xml:space="preserve">RD-21</x:t>
        </x:is>
      </x:c>
      <x:c r="B55" s="13" t="n"/>
      <x:c r="C55" s="13" t="n"/>
      <x:c r="D55" s="13" t="n"/>
      <x:c r="E55" s="13" t="n"/>
      <x:c r="F55" s="13" t="n"/>
      <x:c r="G55" s="13" t="n"/>
      <x:c r="H55" s="13" t="n"/>
      <x:c r="I55" s="13" t="n"/>
      <x:c r="J55" s="13" t="n"/>
      <x:c r="K55" s="13" t="n"/>
      <x:c r="L55" s="13" t="n"/>
      <x:c r="M55" s="13" t="n"/>
      <x:c r="N55" s="13" t="n"/>
      <x:c r="O55" s="13" t="n"/>
      <x:c r="P55" s="13" t="n"/>
      <x:c r="Q55" s="13" t="n"/>
      <x:c r="R55" s="13" t="n"/>
      <x:c r="S55" s="13" t="n"/>
      <x:c r="T55" s="13" t="n"/>
    </x:row>
    <x:row r="56">
      <x:c r="A56" s="13" t="inlineStr">
        <x:is>
          <x:t xml:space="preserve">RD-22</x:t>
        </x:is>
      </x:c>
      <x:c r="B56" s="13" t="n"/>
      <x:c r="C56" s="13" t="n"/>
      <x:c r="D56" s="13" t="n"/>
      <x:c r="E56" s="13" t="n"/>
      <x:c r="F56" s="13" t="n"/>
      <x:c r="G56" s="13" t="n"/>
      <x:c r="H56" s="13" t="n"/>
      <x:c r="I56" s="13" t="n"/>
      <x:c r="J56" s="13" t="n"/>
      <x:c r="K56" s="13" t="n"/>
      <x:c r="L56" s="13" t="n"/>
      <x:c r="M56" s="13" t="n"/>
      <x:c r="N56" s="13" t="n"/>
      <x:c r="O56" s="13" t="n"/>
      <x:c r="P56" s="13" t="n"/>
      <x:c r="Q56" s="13" t="n"/>
      <x:c r="R56" s="13" t="n"/>
      <x:c r="S56" s="13" t="n"/>
      <x:c r="T56" s="13" t="n"/>
    </x:row>
    <x:row r="57">
      <x:c r="A57" s="13" t="inlineStr">
        <x:is>
          <x:t xml:space="preserve">RD-23</x:t>
        </x:is>
      </x:c>
      <x:c r="B57" s="13" t="n"/>
      <x:c r="C57" s="13" t="n"/>
      <x:c r="D57" s="13" t="n"/>
      <x:c r="E57" s="13" t="n"/>
      <x:c r="F57" s="13" t="n"/>
      <x:c r="G57" s="13" t="n"/>
      <x:c r="H57" s="13" t="n"/>
      <x:c r="I57" s="13" t="n"/>
      <x:c r="J57" s="13" t="n"/>
      <x:c r="K57" s="13" t="n"/>
      <x:c r="L57" s="13" t="n"/>
      <x:c r="M57" s="13" t="n"/>
      <x:c r="N57" s="13" t="n"/>
      <x:c r="O57" s="13" t="n"/>
      <x:c r="P57" s="13" t="n"/>
      <x:c r="Q57" s="13" t="n"/>
      <x:c r="R57" s="13" t="n"/>
      <x:c r="S57" s="13" t="n"/>
      <x:c r="T57" s="13" t="n"/>
    </x:row>
    <x:row r="58">
      <x:c r="A58" s="13" t="inlineStr">
        <x:is>
          <x:t xml:space="preserve">RD-24</x:t>
        </x:is>
      </x:c>
      <x:c r="B58" s="13" t="n"/>
      <x:c r="C58" s="13" t="n"/>
      <x:c r="D58" s="13" t="n"/>
      <x:c r="E58" s="13" t="n"/>
      <x:c r="F58" s="13" t="n"/>
      <x:c r="G58" s="13" t="n"/>
      <x:c r="H58" s="13" t="n"/>
      <x:c r="I58" s="13" t="n"/>
      <x:c r="J58" s="13" t="n"/>
      <x:c r="K58" s="13" t="n"/>
      <x:c r="L58" s="13" t="n"/>
      <x:c r="M58" s="13" t="n"/>
      <x:c r="N58" s="13" t="n"/>
      <x:c r="O58" s="13" t="n"/>
      <x:c r="P58" s="13" t="n"/>
      <x:c r="Q58" s="13" t="n"/>
      <x:c r="R58" s="13" t="n"/>
      <x:c r="S58" s="13" t="n"/>
      <x:c r="T58" s="13" t="n"/>
    </x:row>
    <x:row r="59">
      <x:c r="A59" s="13" t="inlineStr">
        <x:is>
          <x:t xml:space="preserve">RD-25</x:t>
        </x:is>
      </x:c>
      <x:c r="B59" s="13" t="n"/>
      <x:c r="C59" s="13" t="n"/>
      <x:c r="D59" s="13" t="n"/>
      <x:c r="E59" s="13" t="n"/>
      <x:c r="F59" s="13" t="n"/>
      <x:c r="G59" s="13" t="n"/>
      <x:c r="H59" s="13" t="n"/>
      <x:c r="I59" s="13" t="n"/>
      <x:c r="J59" s="13" t="n"/>
      <x:c r="K59" s="13" t="n"/>
      <x:c r="L59" s="13" t="n"/>
      <x:c r="M59" s="13" t="n"/>
      <x:c r="N59" s="13" t="n"/>
      <x:c r="O59" s="13" t="n"/>
      <x:c r="P59" s="13" t="n"/>
      <x:c r="Q59" s="13" t="n"/>
      <x:c r="R59" s="13" t="n"/>
      <x:c r="S59" s="13" t="n"/>
      <x:c r="T59" s="13" t="n"/>
    </x:row>
    <x:row r="61">
      <x:c r="A61" s="16" t="inlineStr">
        <x:is>
          <x:t xml:space="preserve">Catatan: Data yang telah diisi pada file ini merupakan data simulasi untuk kebutuhan tugas dan dapat diganti dengan data aktual.</x:t>
        </x:is>
      </x:c>
    </x:row>
  </x:sheetData>
  <x:mergeCells>
    <x:mergeCell ref="D11:I11"/>
    <x:mergeCell ref="J10:K10"/>
    <x:mergeCell ref="J9:K9"/>
    <x:mergeCell ref="B12:C12"/>
    <x:mergeCell ref="A61:T61"/>
    <x:mergeCell ref="A6:T6"/>
    <x:mergeCell ref="L10:T10"/>
    <x:mergeCell ref="B11:C11"/>
    <x:mergeCell ref="D9:I9"/>
    <x:mergeCell ref="A7:T7"/>
    <x:mergeCell ref="D12:I12"/>
    <x:mergeCell ref="L9:T9"/>
    <x:mergeCell ref="C1:H2"/>
    <x:mergeCell ref="J11:K11"/>
    <x:mergeCell ref="A18:T18"/>
    <x:mergeCell ref="L11:T11"/>
    <x:mergeCell ref="B10:C10"/>
    <x:mergeCell ref="A15:T16"/>
    <x:mergeCell ref="A33:T33"/>
    <x:mergeCell ref="C3:H3"/>
    <x:mergeCell ref="B9:C9"/>
    <x:mergeCell ref="A14:T14"/>
    <x:mergeCell ref="D10:I10"/>
    <x:mergeCell ref="J12:K12"/>
    <x:mergeCell ref="L12:T12"/>
  </x:mergeCells>
  <x:conditionalFormatting sqref="F35:P59">
    <x:cfRule type="colorScale" priority="1">
      <x:colorScale>
        <x:cfvo type="num" val="1"/>
        <x:cfvo type="num" val="3"/>
        <x:cfvo type="num" val="5"/>
        <x:color rgb="00F4CCCC"/>
        <x:color rgb="00FFF2CC"/>
        <x:color rgb="00D9EAD3"/>
      </x:colorScale>
    </x:cfRule>
  </x:conditionalFormatting>
  <x:dataValidations count="3">
    <x:dataValidation type="whole" operator="between" allowBlank="1" showDropDown="0" showInputMessage="0" showErrorMessage="0" sqref="F35:P59">
      <x:formula1>1</x:formula1>
      <x:formula2>5</x:formula2>
    </x:dataValidation>
    <x:dataValidation type="whole" operator="between" allowBlank="1" showDropDown="0" showInputMessage="0" showErrorMessage="0" sqref="Q35:Q59">
      <x:formula1>0</x:formula1>
      <x:formula2>10</x:formula2>
    </x:dataValidation>
    <x:dataValidation type="whole" operator="between" allowBlank="1" showDropDown="0" showInputMessage="0" showErrorMessage="0" sqref="E35:E59">
      <x:formula1>0</x:formula1>
      <x:formula2>100</x:formula2>
    </x:dataValidation>
  </x:dataValidations>
  <x:pageMargins left="0.7" right="0.7" top="0.75" bottom="0.75" header="0.3" footer="0.3"/>
  <x:drawing xmlns:r="http://schemas.openxmlformats.org/officeDocument/2006/relationships" r:id="Rcc35c3ab2d4d4a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1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6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6" customWidth="1"/>
    <x:col min="14" max="14" width="18" customWidth="1"/>
    <x:col min="15" max="15" width="18" customWidth="1"/>
    <x:col min="16" max="16" width="18" customWidth="1"/>
  </x:cols>
  <x:sheetData>
    <x:row r="1" ht="26" customHeight="1">
      <x:c r="C1" s="1" t="inlineStr">
        <x:is>
          <x:t xml:space="preserve">EIGHTEEN REKRUTMEN ASIA</x:t>
        </x:is>
      </x:c>
    </x:row>
    <x:row r="2" ht="22" customHeight="1"/>
    <x:row r="3" ht="18" customHeight="1">
      <x:c r="C3" s="2" t="inlineStr">
        <x:is>
          <x:t xml:space="preserve">Dashboard Analisa – Level 1 Reaction</x:t>
        </x:is>
      </x:c>
    </x:row>
    <x:row r="4" ht="8" customHeight="1">
      <x:c r="A4" s="3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</x:row>
    <x:row r="6">
      <x:c r="A6" s="4" t="inlineStr">
        <x:is>
          <x:t xml:space="preserve">DASHBOARD ANALISA EVALUASI REACTION – RELASI DIRI</x:t>
        </x:is>
      </x:c>
    </x:row>
    <x:row r="7">
      <x:c r="A7" s="17" t="inlineStr">
        <x:is>
          <x:t xml:space="preserve">Workbook ini membaca data dari sheet "Form Respon" pada file yang sama.</x:t>
        </x:is>
      </x:c>
    </x:row>
    <x:row r="9">
      <x:c r="B9" s="18" t="inlineStr">
        <x:is>
          <x:t xml:space="preserve">Jumlah Responden</x:t>
        </x:is>
      </x:c>
      <x:c r="C9" s="11" t="n"/>
      <x:c r="D9" s="11" t="n"/>
      <x:c r="E9" s="18" t="inlineStr">
        <x:is>
          <x:t xml:space="preserve">Reaction Index</x:t>
        </x:is>
      </x:c>
      <x:c r="F9" s="11" t="n"/>
      <x:c r="G9" s="11" t="n"/>
      <x:c r="H9" s="18" t="inlineStr">
        <x:is>
          <x:t xml:space="preserve">Favorable Rate</x:t>
        </x:is>
      </x:c>
      <x:c r="I9" s="11" t="n"/>
      <x:c r="J9" s="11" t="n"/>
      <x:c r="K9" s="18" t="inlineStr">
        <x:is>
          <x:t xml:space="preserve">Overall Satisfaction</x:t>
        </x:is>
      </x:c>
      <x:c r="L9" s="11" t="n"/>
      <x:c r="M9" s="11" t="n"/>
      <x:c r="N9" s="18" t="inlineStr">
        <x:is>
          <x:t xml:space="preserve">NPS</x:t>
        </x:is>
      </x:c>
      <x:c r="O9" s="11" t="n"/>
      <x:c r="P9" s="11" t="n"/>
    </x:row>
    <x:row r="10">
      <x:c r="B10" s="19">
        <x:f>COUNTA('Form Respon'!B35:B59)</x:f>
        <x:v>20</x:v>
      </x:c>
      <x:c r="C10" s="11" t="n"/>
      <x:c r="D10" s="11" t="n"/>
      <x:c r="E10" s="20">
        <x:f>AVERAGE('Form Respon'!F35:P59)</x:f>
        <x:v>4.3136363636363635</x:v>
      </x:c>
      <x:c r="F10" s="11" t="n"/>
      <x:c r="G10" s="11" t="n"/>
      <x:c r="H10" s="21">
        <x:f>COUNTIF('Form Respon'!F35:P59,"&gt;=4")/COUNT('Form Respon'!F35:P59)</x:f>
        <x:v>0.9863636363636363</x:v>
      </x:c>
      <x:c r="I10" s="11" t="n"/>
      <x:c r="J10" s="11" t="n"/>
      <x:c r="K10" s="20">
        <x:f>AVERAGE('Form Respon'!P35:P59)</x:f>
        <x:v>4.5</x:v>
      </x:c>
      <x:c r="L10" s="11" t="n"/>
      <x:c r="M10" s="11" t="n"/>
      <x:c r="N10" s="19">
        <x:f>IF(COUNT('Form Respon'!Q35:Q59)=0,0,(COUNTIF('Form Respon'!Q35:Q59,"&gt;=9")/COUNT('Form Respon'!Q35:Q59)-COUNTIF('Form Respon'!Q35:Q59,"&lt;=6")/COUNT('Form Respon'!Q35:Q59))*100)</x:f>
        <x:v>35</x:v>
      </x:c>
      <x:c r="O10" s="11" t="n"/>
      <x:c r="P10" s="11" t="n"/>
    </x:row>
    <x:row r="11">
      <x:c r="B11" s="11" t="n"/>
      <x:c r="C11" s="11" t="n"/>
      <x:c r="D11" s="11" t="n"/>
      <x:c r="E11" s="11" t="n"/>
      <x:c r="F11" s="11" t="n"/>
      <x:c r="G11" s="11" t="n"/>
      <x:c r="H11" s="11" t="n"/>
      <x:c r="I11" s="11" t="n"/>
      <x:c r="J11" s="11" t="n"/>
      <x:c r="K11" s="11" t="n"/>
      <x:c r="L11" s="11" t="n"/>
      <x:c r="M11" s="11" t="n"/>
      <x:c r="N11" s="11" t="n"/>
      <x:c r="O11" s="11" t="n"/>
      <x:c r="P11" s="11" t="n"/>
    </x:row>
    <x:row r="12">
      <x:c r="B12" s="11" t="n"/>
      <x:c r="C12" s="11" t="n"/>
      <x:c r="D12" s="11" t="n"/>
      <x:c r="E12" s="11" t="n"/>
      <x:c r="F12" s="11" t="n"/>
      <x:c r="G12" s="11" t="n"/>
      <x:c r="H12" s="11" t="n"/>
      <x:c r="I12" s="11" t="n"/>
      <x:c r="J12" s="11" t="n"/>
      <x:c r="K12" s="11" t="n"/>
      <x:c r="L12" s="11" t="n"/>
      <x:c r="M12" s="11" t="n"/>
      <x:c r="N12" s="11" t="n"/>
      <x:c r="O12" s="11" t="n"/>
      <x:c r="P12" s="11" t="n"/>
    </x:row>
    <x:row r="14">
      <x:c r="B14" s="9" t="inlineStr">
        <x:is>
          <x:t xml:space="preserve">Interpretasi Ringkas</x:t>
        </x:is>
      </x:c>
    </x:row>
    <x:row r="15">
      <x:c r="B15" s="22" t="inlineStr">
        <x:is>
          <x:t xml:space="preserve">Rata-rata Kehadiran</x:t>
        </x:is>
      </x:c>
      <x:c r="E15" s="22" t="inlineStr">
        <x:is>
          <x:t xml:space="preserve">Dimensi Terkuat</x:t>
        </x:is>
      </x:c>
      <x:c r="H15" s="22" t="inlineStr">
        <x:is>
          <x:t xml:space="preserve">Area Prioritas</x:t>
        </x:is>
      </x:c>
      <x:c r="K15" s="22" t="inlineStr">
        <x:is>
          <x:t xml:space="preserve">Promoter Share</x:t>
        </x:is>
      </x:c>
      <x:c r="N15" s="22" t="inlineStr">
        <x:is>
          <x:t xml:space="preserve">Detractor Share</x:t>
        </x:is>
      </x:c>
    </x:row>
    <x:row r="16">
      <x:c r="B16" s="23">
        <x:f>AVERAGE('Form Respon'!E35:E59)/100</x:f>
        <x:v>0.995</x:v>
      </x:c>
      <x:c r="E16" s="24" t="str">
        <x:f>INDEX(B21:B31,MATCH(MAX(C21:C31),C21:C31,0))</x:f>
        <x:v>Fasilitator – mastery</x:v>
      </x:c>
      <x:c r="H16" s="24" t="str">
        <x:f>INDEX(B21:B31,MATCH(MIN(C21:C31),C21:C31,0))</x:f>
        <x:v>Waktu</x:v>
      </x:c>
      <x:c r="K16" s="23">
        <x:f>IF(COUNT('Form Respon'!Q35:Q59)=0,0,COUNTIF('Form Respon'!Q35:Q59,"&gt;=9")/COUNT('Form Respon'!Q35:Q59))</x:f>
        <x:v>0.6</x:v>
      </x:c>
      <x:c r="N16" s="23">
        <x:f>IF(COUNT('Form Respon'!Q35:Q59)=0,0,COUNTIF('Form Respon'!Q35:Q59,"&lt;=6")/COUNT('Form Respon'!Q35:Q59))</x:f>
        <x:v>0.25</x:v>
      </x:c>
    </x:row>
    <x:row r="19">
      <x:c r="B19" s="9" t="inlineStr">
        <x:is>
          <x:t xml:space="preserve">Analisis per Dimensi</x:t>
        </x:is>
      </x:c>
      <x:c r="H19" s="9" t="inlineStr">
        <x:is>
          <x:t xml:space="preserve">Distribusi NPS</x:t>
        </x:is>
      </x:c>
      <x:c r="M19" s="9" t="inlineStr">
        <x:is>
          <x:t xml:space="preserve">Insight Kualitatif</x:t>
        </x:is>
      </x:c>
    </x:row>
    <x:row r="20">
      <x:c r="B20" s="25" t="inlineStr">
        <x:is>
          <x:t xml:space="preserve">Dimensi</x:t>
        </x:is>
      </x:c>
      <x:c r="C20" s="25" t="inlineStr">
        <x:is>
          <x:t xml:space="preserve">Rata-rata</x:t>
        </x:is>
      </x:c>
      <x:c r="D20" s="25" t="inlineStr">
        <x:is>
          <x:t xml:space="preserve">Favorability</x:t>
        </x:is>
      </x:c>
      <x:c r="E20" s="25" t="inlineStr">
        <x:is>
          <x:t xml:space="preserve">Kategori</x:t>
        </x:is>
      </x:c>
      <x:c r="F20" s="25" t="inlineStr">
        <x:is>
          <x:t xml:space="preserve">Arah Tindak Lanjut</x:t>
        </x:is>
      </x:c>
      <x:c r="H20" s="26" t="inlineStr">
        <x:is>
          <x:t xml:space="preserve">Segmen</x:t>
        </x:is>
      </x:c>
      <x:c r="I20" s="26" t="inlineStr">
        <x:is>
          <x:t xml:space="preserve">Jumlah</x:t>
        </x:is>
      </x:c>
      <x:c r="J20" s="26" t="inlineStr">
        <x:is>
          <x:t xml:space="preserve">Share</x:t>
        </x:is>
      </x:c>
      <x:c r="K20" s="26" t="inlineStr">
        <x:is>
          <x:t xml:space="preserve">Interpretasi</x:t>
        </x:is>
      </x:c>
      <x:c r="M20" s="25" t="inlineStr">
        <x:is>
          <x:t xml:space="preserve">Area Insight</x:t>
        </x:is>
      </x:c>
      <x:c r="N20" s="25" t="inlineStr">
        <x:is>
          <x:t xml:space="preserve">Temuan Utama</x:t>
        </x:is>
      </x:c>
      <x:c r="O20" s="25" t="inlineStr">
        <x:is>
          <x:t xml:space="preserve">Implikasi</x:t>
        </x:is>
      </x:c>
    </x:row>
    <x:row r="21">
      <x:c r="B21" s="27" t="inlineStr">
        <x:is>
          <x:t xml:space="preserve">Relevansi</x:t>
        </x:is>
      </x:c>
      <x:c r="C21" s="28">
        <x:f>AVERAGE('Form Respon'!F35:F59)</x:f>
        <x:v>4.5</x:v>
      </x:c>
      <x:c r="D21" s="29">
        <x:f>COUNTIF('Form Respon'!F35:F59,"&gt;=4")/COUNT('Form Respon'!F35:F59)</x:f>
        <x:v>1</x:v>
      </x:c>
      <x:c r="E21" s="27" t="str">
        <x:f>IF(C21&gt;=4.5,"Sangat Baik",IF(C21&gt;=4,"Baik",IF(C21&gt;=3.5,"Cukup","Perlu Perbaikan")))</x:f>
        <x:v>Sangat Baik</x:v>
      </x:c>
      <x:c r="F21" s="27" t="str">
        <x:f>IF(C21&gt;=4.3,"Pertahankan &amp; replikasi praktik baik",IF(C21&gt;=4,"Optimasi minor",IF(C21&gt;=3.5,"Perlu penguatan terarah","Prioritas perbaikan")))</x:f>
        <x:v>Pertahankan &amp; replikasi praktik baik</x:v>
      </x:c>
      <x:c r="H21" s="27" t="inlineStr">
        <x:is>
          <x:t xml:space="preserve">Promoter</x:t>
        </x:is>
      </x:c>
      <x:c r="I21" s="27">
        <x:f>COUNTIF('Form Respon'!Q35:Q59,"&gt;=9")</x:f>
        <x:v>12</x:v>
      </x:c>
      <x:c r="J21" s="29">
        <x:f>IF(COUNT('Form Respon'!Q35:Q59)=0,0,I21/COUNT('Form Respon'!Q35:Q59))</x:f>
        <x:v>0.6</x:v>
      </x:c>
      <x:c r="K21" s="27" t="inlineStr">
        <x:is>
          <x:t xml:space="preserve">Mendorong advocacy</x:t>
        </x:is>
      </x:c>
      <x:c r="M21" s="13" t="inlineStr">
        <x:is>
          <x:t xml:space="preserve">Hal yang paling diapresiasi</x:t>
        </x:is>
      </x:c>
      <x:c r="N21" s="13" t="inlineStr">
        <x:is>
          <x:t xml:space="preserve">Peserta paling banyak menyoroti relevansi materi, kualitas fasilitator, dan contoh komunikasi kerja yang praktis.</x:t>
        </x:is>
      </x:c>
      <x:c r="O21" s="13" t="inlineStr">
        <x:is>
          <x:t xml:space="preserve">Pertahankan kombinasi teori singkat, studi kasus, dan role play terarah.</x:t>
        </x:is>
      </x:c>
      <x:c r="P21" s="13" t="n"/>
    </x:row>
    <x:row r="22">
      <x:c r="B22" s="27" t="inlineStr">
        <x:is>
          <x:t xml:space="preserve">Kejelasan tujuan</x:t>
        </x:is>
      </x:c>
      <x:c r="C22" s="28">
        <x:f>AVERAGE('Form Respon'!G35:G59)</x:f>
        <x:v>4.3</x:v>
      </x:c>
      <x:c r="D22" s="29">
        <x:f>COUNTIF('Form Respon'!G35:G59,"&gt;=4")/COUNT('Form Respon'!G35:G59)</x:f>
        <x:v>1</x:v>
      </x:c>
      <x:c r="E22" s="27" t="str">
        <x:f>IF(C22&gt;=4.5,"Sangat Baik",IF(C22&gt;=4,"Baik",IF(C22&gt;=3.5,"Cukup","Perlu Perbaikan")))</x:f>
        <x:v>Baik</x:v>
      </x:c>
      <x:c r="F22" s="27" t="str">
        <x:f>IF(C22&gt;=4.3,"Pertahankan &amp; replikasi praktik baik",IF(C22&gt;=4,"Optimasi minor",IF(C22&gt;=3.5,"Perlu penguatan terarah","Prioritas perbaikan")))</x:f>
        <x:v>Pertahankan &amp; replikasi praktik baik</x:v>
      </x:c>
      <x:c r="H22" s="27" t="inlineStr">
        <x:is>
          <x:t xml:space="preserve">Passive</x:t>
        </x:is>
      </x:c>
      <x:c r="I22" s="27">
        <x:f>COUNTIFS('Form Respon'!Q35:Q59,"&gt;=7",'Form Respon'!Q35:Q59,"&lt;=8")</x:f>
        <x:v>8</x:v>
      </x:c>
      <x:c r="J22" s="29">
        <x:f>IF(COUNT('Form Respon'!Q35:Q59)=0,0,I22/COUNT('Form Respon'!Q35:Q59))</x:f>
        <x:v>0.4</x:v>
      </x:c>
      <x:c r="K22" s="27" t="inlineStr">
        <x:is>
          <x:t xml:space="preserve">Perlu diperdalam</x:t>
        </x:is>
      </x:c>
    </x:row>
    <x:row r="23">
      <x:c r="B23" s="27" t="inlineStr">
        <x:is>
          <x:t xml:space="preserve">Fasilitator – mastery</x:t>
        </x:is>
      </x:c>
      <x:c r="C23" s="28">
        <x:f>AVERAGE('Form Respon'!H35:H59)</x:f>
        <x:v>4.55</x:v>
      </x:c>
      <x:c r="D23" s="29">
        <x:f>COUNTIF('Form Respon'!H35:H59,"&gt;=4")/COUNT('Form Respon'!H35:H59)</x:f>
        <x:v>1</x:v>
      </x:c>
      <x:c r="E23" s="27" t="str">
        <x:f>IF(C23&gt;=4.5,"Sangat Baik",IF(C23&gt;=4,"Baik",IF(C23&gt;=3.5,"Cukup","Perlu Perbaikan")))</x:f>
        <x:v>Sangat Baik</x:v>
      </x:c>
      <x:c r="F23" s="27" t="str">
        <x:f>IF(C23&gt;=4.3,"Pertahankan &amp; replikasi praktik baik",IF(C23&gt;=4,"Optimasi minor",IF(C23&gt;=3.5,"Perlu penguatan terarah","Prioritas perbaikan")))</x:f>
        <x:v>Pertahankan &amp; replikasi praktik baik</x:v>
      </x:c>
      <x:c r="H23" s="27" t="inlineStr">
        <x:is>
          <x:t xml:space="preserve">Detractor</x:t>
        </x:is>
      </x:c>
      <x:c r="I23" s="27">
        <x:f>COUNTIF('Form Respon'!Q35:Q59,"&lt;=6")</x:f>
        <x:v>5</x:v>
      </x:c>
      <x:c r="J23" s="29">
        <x:f>IF(COUNT('Form Respon'!Q35:Q59)=0,0,I23/COUNT('Form Respon'!Q35:Q59))</x:f>
        <x:v>0.25</x:v>
      </x:c>
      <x:c r="K23" s="27" t="inlineStr">
        <x:is>
          <x:t xml:space="preserve">Sumber risiko pengalaman</x:t>
        </x:is>
      </x:c>
      <x:c r="M23" s="13" t="inlineStr">
        <x:is>
          <x:t xml:space="preserve">Kebutuhan penguatan</x:t>
        </x:is>
      </x:c>
      <x:c r="N23" s="13" t="inlineStr">
        <x:is>
          <x:t xml:space="preserve">Komentar perbaikan paling sering mengarah pada penambahan waktu latihan, diskusi, dan contoh yang lebih kontekstual.</x:t>
        </x:is>
      </x:c>
      <x:c r="O23" s="13" t="inlineStr">
        <x:is>
          <x:t xml:space="preserve">Tambahkan porsi praktik dan bank studi kasus yang dekat dengan situasi Relasi Diri.</x:t>
        </x:is>
      </x:c>
      <x:c r="P23" s="13" t="n"/>
    </x:row>
    <x:row r="24">
      <x:c r="B24" s="27" t="inlineStr">
        <x:is>
          <x:t xml:space="preserve">Fasilitator – delivery</x:t>
        </x:is>
      </x:c>
      <x:c r="C24" s="28">
        <x:f>AVERAGE('Form Respon'!I35:I59)</x:f>
        <x:v>4.55</x:v>
      </x:c>
      <x:c r="D24" s="29">
        <x:f>COUNTIF('Form Respon'!I35:I59,"&gt;=4")/COUNT('Form Respon'!I35:I59)</x:f>
        <x:v>1</x:v>
      </x:c>
      <x:c r="E24" s="27" t="str">
        <x:f>IF(C24&gt;=4.5,"Sangat Baik",IF(C24&gt;=4,"Baik",IF(C24&gt;=3.5,"Cukup","Perlu Perbaikan")))</x:f>
        <x:v>Sangat Baik</x:v>
      </x:c>
      <x:c r="F24" s="27" t="str">
        <x:f>IF(C24&gt;=4.3,"Pertahankan &amp; replikasi praktik baik",IF(C24&gt;=4,"Optimasi minor",IF(C24&gt;=3.5,"Perlu penguatan terarah","Prioritas perbaikan")))</x:f>
        <x:v>Pertahankan &amp; replikasi praktik baik</x:v>
      </x:c>
    </x:row>
    <x:row r="25">
      <x:c r="B25" s="27" t="inlineStr">
        <x:is>
          <x:t xml:space="preserve">Interaksi</x:t>
        </x:is>
      </x:c>
      <x:c r="C25" s="28">
        <x:f>AVERAGE('Form Respon'!J35:J59)</x:f>
        <x:v>4.2</x:v>
      </x:c>
      <x:c r="D25" s="29">
        <x:f>COUNTIF('Form Respon'!J35:J59,"&gt;=4")/COUNT('Form Respon'!J35:J59)</x:f>
        <x:v>1</x:v>
      </x:c>
      <x:c r="E25" s="27" t="str">
        <x:f>IF(C25&gt;=4.5,"Sangat Baik",IF(C25&gt;=4,"Baik",IF(C25&gt;=3.5,"Cukup","Perlu Perbaikan")))</x:f>
        <x:v>Baik</x:v>
      </x:c>
      <x:c r="F25" s="27" t="str">
        <x:f>IF(C25&gt;=4.3,"Pertahankan &amp; replikasi praktik baik",IF(C25&gt;=4,"Optimasi minor",IF(C25&gt;=3.5,"Perlu penguatan terarah","Prioritas perbaikan")))</x:f>
        <x:v>Optimasi minor</x:v>
      </x:c>
      <x:c r="M25" s="13" t="inlineStr">
        <x:is>
          <x:t xml:space="preserve">Peluang lanjutan</x:t>
        </x:is>
      </x:c>
      <x:c r="N25" s="13" t="inlineStr">
        <x:is>
          <x:t xml:space="preserve">Sebagian peserta meminta template komunikasi, follow-up message, dan pendampingan implementasi setelah kelas.</x:t>
        </x:is>
      </x:c>
      <x:c r="O25" s="13" t="inlineStr">
        <x:is>
          <x:t xml:space="preserve">Tindak lanjuti dengan toolkit pascapelatihan atau bundling program lanjutan.</x:t>
        </x:is>
      </x:c>
      <x:c r="P25" s="13" t="n"/>
    </x:row>
    <x:row r="26">
      <x:c r="B26" s="27" t="inlineStr">
        <x:is>
          <x:t xml:space="preserve">Metode</x:t>
        </x:is>
      </x:c>
      <x:c r="C26" s="28">
        <x:f>AVERAGE('Form Respon'!K35:K59)</x:f>
        <x:v>4</x:v>
      </x:c>
      <x:c r="D26" s="29">
        <x:f>COUNTIF('Form Respon'!K35:K59,"&gt;=4")/COUNT('Form Respon'!K35:K59)</x:f>
        <x:v>0.9</x:v>
      </x:c>
      <x:c r="E26" s="27" t="str">
        <x:f>IF(C26&gt;=4.5,"Sangat Baik",IF(C26&gt;=4,"Baik",IF(C26&gt;=3.5,"Cukup","Perlu Perbaikan")))</x:f>
        <x:v>Baik</x:v>
      </x:c>
      <x:c r="F26" s="27" t="str">
        <x:f>IF(C26&gt;=4.3,"Pertahankan &amp; replikasi praktik baik",IF(C26&gt;=4,"Optimasi minor",IF(C26&gt;=3.5,"Perlu penguatan terarah","Prioritas perbaikan")))</x:f>
        <x:v>Optimasi minor</x:v>
      </x:c>
    </x:row>
    <x:row r="27">
      <x:c r="B27" s="27" t="inlineStr">
        <x:is>
          <x:t xml:space="preserve">Materi</x:t>
        </x:is>
      </x:c>
      <x:c r="C27" s="28">
        <x:f>AVERAGE('Form Respon'!L35:L59)</x:f>
        <x:v>4.25</x:v>
      </x:c>
      <x:c r="D27" s="29">
        <x:f>COUNTIF('Form Respon'!L35:L59,"&gt;=4")/COUNT('Form Respon'!L35:L59)</x:f>
        <x:v>1</x:v>
      </x:c>
      <x:c r="E27" s="27" t="str">
        <x:f>IF(C27&gt;=4.5,"Sangat Baik",IF(C27&gt;=4,"Baik",IF(C27&gt;=3.5,"Cukup","Perlu Perbaikan")))</x:f>
        <x:v>Baik</x:v>
      </x:c>
      <x:c r="F27" s="27" t="str">
        <x:f>IF(C27&gt;=4.3,"Pertahankan &amp; replikasi praktik baik",IF(C27&gt;=4,"Optimasi minor",IF(C27&gt;=3.5,"Perlu penguatan terarah","Prioritas perbaikan")))</x:f>
        <x:v>Optimasi minor</x:v>
      </x:c>
    </x:row>
    <x:row r="28">
      <x:c r="B28" s="27" t="inlineStr">
        <x:is>
          <x:t xml:space="preserve">Media/Logistik</x:t>
        </x:is>
      </x:c>
      <x:c r="C28" s="28">
        <x:f>AVERAGE('Form Respon'!M35:M59)</x:f>
        <x:v>4.15</x:v>
      </x:c>
      <x:c r="D28" s="29">
        <x:f>COUNTIF('Form Respon'!M35:M59,"&gt;=4")/COUNT('Form Respon'!M35:M59)</x:f>
        <x:v>1</x:v>
      </x:c>
      <x:c r="E28" s="27" t="str">
        <x:f>IF(C28&gt;=4.5,"Sangat Baik",IF(C28&gt;=4,"Baik",IF(C28&gt;=3.5,"Cukup","Perlu Perbaikan")))</x:f>
        <x:v>Baik</x:v>
      </x:c>
      <x:c r="F28" s="27" t="str">
        <x:f>IF(C28&gt;=4.3,"Pertahankan &amp; replikasi praktik baik",IF(C28&gt;=4,"Optimasi minor",IF(C28&gt;=3.5,"Perlu penguatan terarah","Prioritas perbaikan")))</x:f>
        <x:v>Optimasi minor</x:v>
      </x:c>
    </x:row>
    <x:row r="29">
      <x:c r="B29" s="27" t="inlineStr">
        <x:is>
          <x:t xml:space="preserve">Waktu</x:t>
        </x:is>
      </x:c>
      <x:c r="C29" s="28">
        <x:f>AVERAGE('Form Respon'!N35:N59)</x:f>
        <x:v>3.95</x:v>
      </x:c>
      <x:c r="D29" s="29">
        <x:f>COUNTIF('Form Respon'!N35:N59,"&gt;=4")/COUNT('Form Respon'!N35:N59)</x:f>
        <x:v>0.95</x:v>
      </x:c>
      <x:c r="E29" s="27" t="str">
        <x:f>IF(C29&gt;=4.5,"Sangat Baik",IF(C29&gt;=4,"Baik",IF(C29&gt;=3.5,"Cukup","Perlu Perbaikan")))</x:f>
        <x:v>Cukup</x:v>
      </x:c>
      <x:c r="F29" s="27" t="str">
        <x:f>IF(C29&gt;=4.3,"Pertahankan &amp; replikasi praktik baik",IF(C29&gt;=4,"Optimasi minor",IF(C29&gt;=3.5,"Perlu penguatan terarah","Prioritas perbaikan")))</x:f>
        <x:v>Perlu penguatan terarah</x:v>
      </x:c>
    </x:row>
    <x:row r="30">
      <x:c r="B30" s="27" t="inlineStr">
        <x:is>
          <x:t xml:space="preserve">Aplikasi kerja</x:t>
        </x:is>
      </x:c>
      <x:c r="C30" s="28">
        <x:f>AVERAGE('Form Respon'!O35:O59)</x:f>
        <x:v>4.5</x:v>
      </x:c>
      <x:c r="D30" s="29">
        <x:f>COUNTIF('Form Respon'!O35:O59,"&gt;=4")/COUNT('Form Respon'!O35:O59)</x:f>
        <x:v>1</x:v>
      </x:c>
      <x:c r="E30" s="27" t="str">
        <x:f>IF(C30&gt;=4.5,"Sangat Baik",IF(C30&gt;=4,"Baik",IF(C30&gt;=3.5,"Cukup","Perlu Perbaikan")))</x:f>
        <x:v>Sangat Baik</x:v>
      </x:c>
      <x:c r="F30" s="27" t="str">
        <x:f>IF(C30&gt;=4.3,"Pertahankan &amp; replikasi praktik baik",IF(C30&gt;=4,"Optimasi minor",IF(C30&gt;=3.5,"Perlu penguatan terarah","Prioritas perbaikan")))</x:f>
        <x:v>Pertahankan &amp; replikasi praktik baik</x:v>
      </x:c>
    </x:row>
    <x:row r="31">
      <x:c r="B31" s="27" t="inlineStr">
        <x:is>
          <x:t xml:space="preserve">Kepuasan keseluruhan</x:t>
        </x:is>
      </x:c>
      <x:c r="C31" s="28">
        <x:f>AVERAGE('Form Respon'!P35:P59)</x:f>
        <x:v>4.5</x:v>
      </x:c>
      <x:c r="D31" s="29">
        <x:f>COUNTIF('Form Respon'!P35:P59,"&gt;=4")/COUNT('Form Respon'!P35:P59)</x:f>
        <x:v>1</x:v>
      </x:c>
      <x:c r="E31" s="27" t="str">
        <x:f>IF(C31&gt;=4.5,"Sangat Baik",IF(C31&gt;=4,"Baik",IF(C31&gt;=3.5,"Cukup","Perlu Perbaikan")))</x:f>
        <x:v>Sangat Baik</x:v>
      </x:c>
      <x:c r="F31" s="27" t="str">
        <x:f>IF(C31&gt;=4.3,"Pertahankan &amp; replikasi praktik baik",IF(C31&gt;=4,"Optimasi minor",IF(C31&gt;=3.5,"Perlu penguatan terarah","Prioritas perbaikan")))</x:f>
        <x:v>Pertahankan &amp; replikasi praktik baik</x:v>
      </x:c>
    </x:row>
    <x:row r="35">
      <x:c r="B35" s="9" t="inlineStr">
        <x:is>
          <x:t xml:space="preserve">Rekomendasi Manajerial</x:t>
        </x:is>
      </x:c>
    </x:row>
    <x:row r="36">
      <x:c r="B36" s="30" t="inlineStr">
        <x:is>
          <x:t xml:space="preserve">1. Pertahankan elemen terkuat</x:t>
        </x:is>
      </x:c>
      <x:c r="C36" s="7" t="n"/>
      <x:c r="D36" s="7" t="n"/>
      <x:c r="E36" s="7" t="n"/>
      <x:c r="F36" s="27" t="str">
        <x:f>IF(MAX(C21:C31)&gt;=4.5,"Pertahankan desain dimensi terkuat dan jadikan benchmark untuk batch berikutnya.","Identifikasi quick wins pada dimensi terbaik untuk dijadikan baseline.")</x:f>
        <x:v>Pertahankan desain dimensi terkuat dan jadikan benchmark untuk batch berikutnya.</x:v>
      </x:c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</x:row>
    <x:row r="38">
      <x:c r="B38" s="30" t="inlineStr">
        <x:is>
          <x:t xml:space="preserve">2. Fokus perbaikan utama</x:t>
        </x:is>
      </x:c>
      <x:c r="C38" s="7" t="n"/>
      <x:c r="D38" s="7" t="n"/>
      <x:c r="E38" s="7" t="n"/>
      <x:c r="F38" s="27" t="str">
        <x:f>IF(MIN(C21:C31)&gt;=4,"Tidak ada area kritis; lakukan optimasi minor pada dimensi dengan skor terendah.","Prioritaskan redesign pada dimensi terendah sebelum batch berikutnya.")</x:f>
        <x:v>Prioritaskan redesign pada dimensi terendah sebelum batch berikutnya.</x:v>
      </x:c>
      <x:c r="G38" s="7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</x:row>
    <x:row r="40">
      <x:c r="B40" s="30" t="inlineStr">
        <x:is>
          <x:t xml:space="preserve">3. Tindak lanjut untuk transfer</x:t>
        </x:is>
      </x:c>
      <x:c r="C40" s="7" t="n"/>
      <x:c r="D40" s="7" t="n"/>
      <x:c r="E40" s="7" t="n"/>
      <x:c r="F40" s="27" t="str">
        <x:f>"Dorong tindak lanjut pascapelatihan melalui action plan 30 hari, template komunikasi kerja, dan microlearning refresh."</x:f>
        <x:v>Dorong tindak lanjut pascapelatihan melalui action plan 30 hari, template komunikasi kerja, dan microlearning refresh.</x:v>
      </x:c>
      <x:c r="G40" s="7" t="n"/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</x:row>
    <x:row r="42">
      <x:c r="B42" s="30" t="inlineStr">
        <x:is>
          <x:t xml:space="preserve">4. Potensi upsell program</x:t>
        </x:is>
      </x:c>
      <x:c r="C42" s="7" t="n"/>
      <x:c r="D42" s="7" t="n"/>
      <x:c r="E42" s="7" t="n"/>
      <x:c r="F42" s="27" t="str">
        <x:f>"Jika reaction tetap kuat, Eighteen dapat menawarkan bundling lanjutan ke program Oral Communication with Colleagues and Customers."</x:f>
        <x:v>Jika reaction tetap kuat, Eighteen dapat menawarkan bundling lanjutan ke program Oral Communication with Colleagues and Customers.</x:v>
      </x:c>
      <x:c r="G42" s="7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</x:row>
    <x:row r="45">
      <x:c r="B45" s="16" t="inlineStr">
        <x:is>
          <x:t xml:space="preserve">Catatan: Dashboard ini otomatis membaca data pada sheet Form Respon. Ganti data simulasi dengan data aktual untuk memperoleh hasil analisa final.</x:t>
        </x:is>
      </x:c>
    </x:row>
  </x:sheetData>
  <x:mergeCells>
    <x:mergeCell ref="B40:E40"/>
    <x:mergeCell ref="B14:P14"/>
    <x:mergeCell ref="E9:G9"/>
    <x:mergeCell ref="B10:D12"/>
    <x:mergeCell ref="E10:G12"/>
    <x:mergeCell ref="B36:E36"/>
    <x:mergeCell ref="F40:P40"/>
    <x:mergeCell ref="M19:P19"/>
    <x:mergeCell ref="B9:D9"/>
    <x:mergeCell ref="N9:P9"/>
    <x:mergeCell ref="F36:P36"/>
    <x:mergeCell ref="F42:P42"/>
    <x:mergeCell ref="N10:P12"/>
    <x:mergeCell ref="C1:H2"/>
    <x:mergeCell ref="O25:P25"/>
    <x:mergeCell ref="O21:P21"/>
    <x:mergeCell ref="K10:M12"/>
    <x:mergeCell ref="F38:P38"/>
    <x:mergeCell ref="B19:F19"/>
    <x:mergeCell ref="A6:P6"/>
    <x:mergeCell ref="B45:P45"/>
    <x:mergeCell ref="B35:P35"/>
    <x:mergeCell ref="C3:H3"/>
    <x:mergeCell ref="B42:E42"/>
    <x:mergeCell ref="A7:P7"/>
    <x:mergeCell ref="K9:M9"/>
    <x:mergeCell ref="O23:P23"/>
    <x:mergeCell ref="B38:E38"/>
    <x:mergeCell ref="H9:J9"/>
    <x:mergeCell ref="H10:J12"/>
    <x:mergeCell ref="H19:K19"/>
  </x:mergeCells>
  <x:conditionalFormatting sqref="C21:C21">
    <x:cfRule type="colorScale" priority="1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2:C22">
    <x:cfRule type="colorScale" priority="2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3:C23">
    <x:cfRule type="colorScale" priority="3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4:C24">
    <x:cfRule type="colorScale" priority="4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5:C25">
    <x:cfRule type="colorScale" priority="5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6:C26">
    <x:cfRule type="colorScale" priority="6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7:C27">
    <x:cfRule type="colorScale" priority="7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8:C28">
    <x:cfRule type="colorScale" priority="8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29:C29">
    <x:cfRule type="colorScale" priority="9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30:C30">
    <x:cfRule type="colorScale" priority="10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conditionalFormatting sqref="C31:C31">
    <x:cfRule type="colorScale" priority="11">
      <x:colorScale>
        <x:cfvo type="num" val="1"/>
        <x:cfvo type="num" val="3.5"/>
        <x:cfvo type="num" val="5"/>
        <x:color rgb="00F4CCCC"/>
        <x:color rgb="00FFF2CC"/>
        <x:color rgb="00D9EAD3"/>
      </x:colorScale>
    </x:cfRule>
  </x:conditionalFormatting>
  <x:pageMargins left="0.7" right="0.7" top="0.75" bottom="0.75" header="0.3" footer="0.3"/>
  <x:drawing xmlns:r="http://schemas.openxmlformats.org/officeDocument/2006/relationships" r:id="R6ce97b0fcb894ef2"/>
</x:worksheet>
</file>