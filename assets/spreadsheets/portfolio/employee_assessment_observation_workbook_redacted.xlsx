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500" firstSheet="21" activeTab="25" autoFilterDateGrouping="1"/>
  </bookViews>
  <sheets>
    <sheet xmlns:r="http://schemas.openxmlformats.org/officeDocument/2006/relationships" name="Competency Mapping" sheetId="1" state="hidden" r:id="rId1"/>
    <sheet xmlns:r="http://schemas.openxmlformats.org/officeDocument/2006/relationships" name="Activity Mapping" sheetId="2" state="hidden" r:id="rId2"/>
    <sheet xmlns:r="http://schemas.openxmlformats.org/officeDocument/2006/relationships" name="List Asesmen" sheetId="3" state="hidden" r:id="rId3"/>
    <sheet xmlns:r="http://schemas.openxmlformats.org/officeDocument/2006/relationships" name="Sheet1" sheetId="4" state="hidden" r:id="rId4"/>
    <sheet xmlns:r="http://schemas.openxmlformats.org/officeDocument/2006/relationships" name="Day 1 - 1. Launchpad" sheetId="5" state="visible" r:id="rId5"/>
    <sheet xmlns:r="http://schemas.openxmlformats.org/officeDocument/2006/relationships" name="Day 1 - 2. Talkshow" sheetId="6" state="visible" r:id="rId6"/>
    <sheet xmlns:r="http://schemas.openxmlformats.org/officeDocument/2006/relationships" name="Day 1 - 3. Mission" sheetId="7" state="visible" r:id="rId7"/>
    <sheet xmlns:r="http://schemas.openxmlformats.org/officeDocument/2006/relationships" name="Day 1 - 4. Black Box" sheetId="8" state="visible" r:id="rId8"/>
    <sheet xmlns:r="http://schemas.openxmlformats.org/officeDocument/2006/relationships" name="Day 1 - 5. Peer Black Box" sheetId="9" state="visible" r:id="rId9"/>
    <sheet xmlns:r="http://schemas.openxmlformats.org/officeDocument/2006/relationships" name="Day 1 - 5. Panel Black Box" sheetId="10" state="visible" r:id="rId10"/>
    <sheet xmlns:r="http://schemas.openxmlformats.org/officeDocument/2006/relationships" name="Day 1 - 6. Assignment" sheetId="11" state="visible" r:id="rId11"/>
    <sheet xmlns:r="http://schemas.openxmlformats.org/officeDocument/2006/relationships" name="Day 1 - Rekap (Auto)" sheetId="12" state="visible" r:id="rId12"/>
    <sheet xmlns:r="http://schemas.openxmlformats.org/officeDocument/2006/relationships" name="Day 1 - 7. Recap (BAND)" sheetId="13" state="visible" r:id="rId13"/>
    <sheet xmlns:r="http://schemas.openxmlformats.org/officeDocument/2006/relationships" name="Day 2- 2. Operation Protect" sheetId="14" state="visible" r:id="rId14"/>
    <sheet xmlns:r="http://schemas.openxmlformats.org/officeDocument/2006/relationships" name="Day 2- 2. Operation-Slides" sheetId="15" state="visible" r:id="rId15"/>
    <sheet xmlns:r="http://schemas.openxmlformats.org/officeDocument/2006/relationships" name="Day 2 - 3. Transmission" sheetId="16" state="visible" r:id="rId16"/>
    <sheet xmlns:r="http://schemas.openxmlformats.org/officeDocument/2006/relationships" name="Day 2 - 4. Mission " sheetId="17" state="visible" r:id="rId17"/>
    <sheet xmlns:r="http://schemas.openxmlformats.org/officeDocument/2006/relationships" name="Day 2 - 5.Final Broadcast(Prep)" sheetId="18" state="visible" r:id="rId18"/>
    <sheet xmlns:r="http://schemas.openxmlformats.org/officeDocument/2006/relationships" name="Day 2 - 6. Recap" sheetId="19" state="visible" r:id="rId19"/>
    <sheet xmlns:r="http://schemas.openxmlformats.org/officeDocument/2006/relationships" name="Day 2 - Rekap (Auto)" sheetId="20" state="visible" r:id="rId20"/>
    <sheet xmlns:r="http://schemas.openxmlformats.org/officeDocument/2006/relationships" name="Day 3 - 1. Ignition" sheetId="21" state="visible" r:id="rId21"/>
    <sheet xmlns:r="http://schemas.openxmlformats.org/officeDocument/2006/relationships" name="Day 3 - 2. Speed Coaching" sheetId="22" state="visible" r:id="rId22"/>
    <sheet xmlns:r="http://schemas.openxmlformats.org/officeDocument/2006/relationships" name="Day 3 - 2.Form Indv Reflection" sheetId="23" state="visible" r:id="rId23"/>
    <sheet xmlns:r="http://schemas.openxmlformats.org/officeDocument/2006/relationships" name="Day 3 - 3. Dominion" sheetId="24" state="visible" r:id="rId24"/>
    <sheet xmlns:r="http://schemas.openxmlformats.org/officeDocument/2006/relationships" name="Day 3 - Final Peer in Team Rev" sheetId="25" state="hidden" r:id="rId25"/>
    <sheet xmlns:r="http://schemas.openxmlformats.org/officeDocument/2006/relationships" name="Day 3 - 4. Recap" sheetId="26" state="visible" r:id="rId26"/>
    <sheet xmlns:r="http://schemas.openxmlformats.org/officeDocument/2006/relationships" name="Day 3 - Rekap (Auto)" sheetId="27" state="visible" r:id="rId27"/>
    <sheet xmlns:r="http://schemas.openxmlformats.org/officeDocument/2006/relationships" name="REKAP TOTAL (Auto)" sheetId="28" state="visible" r:id="rId28"/>
  </sheets>
  <definedNames/>
  <calcPr calcId="191028" fullCalcOnLoad="1" iterateDelta="0.0001"/>
</workbook>
</file>

<file path=xl/styles.xml><?xml version="1.0" encoding="utf-8"?>
<styleSheet xmlns="http://schemas.openxmlformats.org/spreadsheetml/2006/main">
  <numFmts count="1">
    <numFmt numFmtId="164" formatCode="0.0"/>
  </numFmts>
  <fonts count="40">
    <font>
      <name val="Calibri"/>
      <charset val="1"/>
      <family val="2"/>
      <color theme="1"/>
      <sz val="11"/>
    </font>
    <font>
      <name val="Aptos Narrow"/>
      <charset val="1"/>
      <family val="2"/>
      <color theme="1"/>
      <sz val="9"/>
    </font>
    <font>
      <name val="Aptos Narrow"/>
      <charset val="1"/>
      <family val="2"/>
      <b val="1"/>
      <color rgb="FF000000"/>
      <sz val="9"/>
    </font>
    <font>
      <name val="Aptos Narrow"/>
      <charset val="1"/>
      <family val="2"/>
      <color rgb="FF000000"/>
      <sz val="9"/>
    </font>
    <font>
      <name val="Aptos Narrow"/>
      <charset val="1"/>
      <family val="2"/>
      <b val="1"/>
      <color theme="1"/>
      <sz val="9"/>
    </font>
    <font>
      <name val="Aptos Narrow"/>
      <color rgb="FF000000"/>
      <sz val="9"/>
    </font>
    <font>
      <name val="Aptos"/>
      <charset val="1"/>
      <family val="2"/>
      <color theme="1"/>
      <sz val="9"/>
    </font>
    <font>
      <name val="Aptos Narrow"/>
      <charset val="1"/>
      <family val="2"/>
      <color rgb="FF000000"/>
      <sz val="6"/>
    </font>
    <font>
      <name val="Aptos Narrow"/>
      <charset val="1"/>
      <family val="2"/>
      <i val="1"/>
      <color theme="1"/>
      <sz val="9"/>
    </font>
    <font>
      <name val="Arial"/>
      <charset val="1"/>
      <family val="2"/>
      <b val="1"/>
      <color rgb="FFFFFFFF"/>
      <sz val="9"/>
    </font>
    <font>
      <name val="Arial"/>
      <charset val="1"/>
      <family val="2"/>
      <b val="1"/>
      <color rgb="FF000000"/>
      <sz val="9"/>
    </font>
    <font>
      <name val="Aptos Narrow"/>
      <charset val="1"/>
      <family val="2"/>
      <b val="1"/>
      <color rgb="FF000000"/>
      <sz val="12"/>
    </font>
    <font>
      <name val="Arial"/>
      <charset val="1"/>
      <family val="2"/>
      <b val="1"/>
      <color rgb="FF1F1F1F"/>
      <sz val="11"/>
    </font>
    <font>
      <name val="Arial"/>
      <family val="2"/>
      <b val="1"/>
      <color rgb="FFFFFFFF"/>
      <sz val="15"/>
    </font>
    <font>
      <name val="Arial"/>
      <family val="2"/>
      <b val="1"/>
      <color rgb="FF000000"/>
      <sz val="11"/>
    </font>
    <font>
      <name val="Arial"/>
      <family val="2"/>
      <color rgb="FF595959"/>
      <sz val="9"/>
    </font>
    <font>
      <name val="Arial"/>
      <family val="2"/>
      <b val="1"/>
      <color rgb="FFFFFFFF"/>
      <sz val="9"/>
    </font>
    <font>
      <name val="Arial"/>
      <family val="2"/>
      <b val="1"/>
      <color rgb="FFFFFFFF"/>
      <sz val="8"/>
    </font>
    <font>
      <name val="Arial"/>
      <family val="2"/>
      <b val="1"/>
      <color rgb="FF000000"/>
      <sz val="9"/>
    </font>
    <font>
      <name val="Arial"/>
      <family val="2"/>
      <sz val="9"/>
    </font>
    <font>
      <name val="Arial"/>
      <family val="2"/>
      <color rgb="FF000000"/>
      <sz val="9"/>
    </font>
    <font>
      <name val="Arial"/>
      <family val="2"/>
      <b val="1"/>
      <color rgb="FFFFFFFF"/>
      <sz val="10"/>
    </font>
    <font>
      <name val="Arial"/>
      <family val="2"/>
      <b val="1"/>
      <color rgb="FFFFFFFF"/>
      <sz val="12"/>
    </font>
    <font>
      <name val="Arial"/>
      <family val="2"/>
      <color rgb="FF000000"/>
      <sz val="10"/>
    </font>
    <font>
      <name val="Arial"/>
      <family val="2"/>
      <b val="1"/>
      <color rgb="FFFFFFFF"/>
      <sz val="13"/>
    </font>
    <font>
      <name val="Calibri"/>
      <charset val="1"/>
      <family val="2"/>
      <color theme="1"/>
      <sz val="9"/>
    </font>
    <font>
      <name val="Aptos Narrow"/>
      <color theme="1"/>
      <sz val="9"/>
    </font>
    <font>
      <name val="Aptos"/>
      <b val="1"/>
      <color rgb="FF1F1F1F"/>
      <sz val="11"/>
    </font>
    <font>
      <name val="Aptos"/>
      <color rgb="FF1F1F1F"/>
      <sz val="11"/>
    </font>
    <font>
      <name val="Aptos"/>
      <color theme="1"/>
      <sz val="11"/>
    </font>
    <font>
      <name val="Aptos Narrow"/>
      <charset val="1"/>
      <family val="2"/>
      <b val="1"/>
      <color rgb="FF1F1F1F"/>
      <sz val="11"/>
    </font>
    <font>
      <name val="Aptos Narrow"/>
      <b val="1"/>
      <color theme="1"/>
      <sz val="9"/>
    </font>
    <font>
      <name val="Arial"/>
      <charset val="1"/>
      <family val="2"/>
      <color rgb="FF000000"/>
      <sz val="9"/>
    </font>
    <font>
      <name val="Arial"/>
      <charset val="1"/>
      <family val="2"/>
      <b val="1"/>
      <color rgb="FF000000"/>
      <sz val="11"/>
    </font>
    <font>
      <name val="Arial"/>
      <family val="2"/>
      <b val="1"/>
      <color rgb="FFFFFF00"/>
      <sz val="11"/>
    </font>
    <font>
      <name val="Arial"/>
      <family val="2"/>
      <color rgb="FF000000"/>
      <sz val="11"/>
    </font>
    <font>
      <name val="Arial"/>
      <family val="2"/>
      <b val="1"/>
      <color rgb="FF000000"/>
      <sz val="13"/>
    </font>
    <font>
      <name val="Arial"/>
      <family val="2"/>
      <b val="1"/>
      <color rgb="FFFFFFFF"/>
      <sz val="11"/>
    </font>
    <font>
      <name val="Arial"/>
      <family val="2"/>
      <b val="1"/>
      <color rgb="FF000000"/>
      <sz val="10"/>
    </font>
    <font>
      <name val="Arial"/>
      <color theme="1"/>
      <sz val="10"/>
    </font>
  </fonts>
  <fills count="19">
    <fill>
      <patternFill/>
    </fill>
    <fill>
      <patternFill patternType="gray125"/>
    </fill>
    <fill>
      <patternFill patternType="solid">
        <fgColor rgb="FFFFE699"/>
        <bgColor rgb="FFFFF2CC"/>
      </patternFill>
    </fill>
    <fill>
      <patternFill patternType="solid">
        <fgColor rgb="FFC6E0B4"/>
        <bgColor rgb="FFC5E0B4"/>
      </patternFill>
    </fill>
    <fill>
      <patternFill patternType="solid">
        <fgColor rgb="FFFFF2CC"/>
        <bgColor rgb="FFF2F2F2"/>
      </patternFill>
    </fill>
    <fill>
      <patternFill patternType="solid">
        <fgColor rgb="FFE2EFDA"/>
        <bgColor rgb="FFE7E6E6"/>
      </patternFill>
    </fill>
    <fill>
      <patternFill patternType="solid">
        <fgColor rgb="FFF2F2F2"/>
        <bgColor rgb="FFEDEDED"/>
      </patternFill>
    </fill>
    <fill>
      <patternFill patternType="solid">
        <fgColor rgb="FFFFC000"/>
        <bgColor rgb="FFFF9900"/>
      </patternFill>
    </fill>
    <fill>
      <patternFill patternType="solid">
        <fgColor rgb="FF2E5496"/>
        <bgColor rgb="FF1F3864"/>
      </patternFill>
    </fill>
    <fill>
      <patternFill patternType="solid">
        <fgColor theme="2" tint="-0.09997863704336681"/>
        <bgColor rgb="FFC4C7C5"/>
      </patternFill>
    </fill>
    <fill>
      <patternFill patternType="solid">
        <fgColor theme="0"/>
        <bgColor rgb="FFF2F2F2"/>
      </patternFill>
    </fill>
    <fill>
      <patternFill patternType="solid">
        <fgColor theme="2"/>
        <bgColor rgb="FFEDEDED"/>
      </patternFill>
    </fill>
    <fill>
      <patternFill patternType="solid">
        <fgColor theme="6" tint="0.7997985778374584"/>
        <bgColor rgb="FFF2F2F2"/>
      </patternFill>
    </fill>
    <fill>
      <patternFill patternType="solid">
        <fgColor rgb="FF1F3864"/>
        <bgColor rgb="FF2E5496"/>
      </patternFill>
    </fill>
    <fill>
      <patternFill patternType="solid">
        <fgColor rgb="FFDDEBF7"/>
        <bgColor rgb="FFE7E6E6"/>
      </patternFill>
    </fill>
    <fill>
      <patternFill patternType="solid">
        <fgColor rgb="FFFFFF00"/>
        <bgColor rgb="FFFFD966"/>
      </patternFill>
    </fill>
    <fill>
      <patternFill patternType="solid">
        <fgColor rgb="FFED7D31"/>
        <bgColor rgb="FFFF9900"/>
      </patternFill>
    </fill>
    <fill>
      <patternFill patternType="solid">
        <fgColor rgb="FF548235"/>
        <bgColor rgb="FF339966"/>
      </patternFill>
    </fill>
    <fill>
      <patternFill patternType="solid">
        <fgColor rgb="FFF8F9FA"/>
        <bgColor indexed="64"/>
      </patternFill>
    </fill>
  </fills>
  <borders count="37">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style="thin">
        <color rgb="FFA6A6A6"/>
      </right>
      <top/>
      <bottom style="thin">
        <color rgb="FFA6A6A6"/>
      </bottom>
      <diagonal/>
    </border>
    <border>
      <left style="thin">
        <color rgb="FFA6A6A6"/>
      </left>
      <right style="thin">
        <color rgb="FFA6A6A6"/>
      </right>
      <top/>
      <bottom style="thin">
        <color rgb="FFA6A6A6"/>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medium">
        <color rgb="FFC4C7C5"/>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thin">
        <color auto="1"/>
      </right>
      <top/>
      <bottom style="thin">
        <color auto="1"/>
      </bottom>
      <diagonal/>
    </border>
    <border>
      <left style="thin">
        <color rgb="FFBFBFBF"/>
      </left>
      <right/>
      <top style="thin">
        <color rgb="FFBFBFBF"/>
      </top>
      <bottom style="thin">
        <color rgb="FFBFBFBF"/>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style="thin">
        <color rgb="FFA6A6A6"/>
      </left>
      <right/>
      <top/>
      <bottom/>
      <diagonal/>
    </border>
    <border>
      <left style="thin">
        <color rgb="FFA6A6A6"/>
      </left>
      <right style="thin">
        <color rgb="FFA6A6A6"/>
      </right>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style="medium">
        <color rgb="FFC4C7C5"/>
      </top>
      <bottom/>
      <diagonal/>
    </border>
    <border>
      <left/>
      <right/>
      <top style="medium">
        <color rgb="FFC4C7C5"/>
      </top>
      <bottom style="medium">
        <color rgb="FFC4C7C5"/>
      </bottom>
      <diagonal/>
    </border>
    <border>
      <left style="thin">
        <color auto="1"/>
      </left>
      <right/>
      <top/>
      <bottom style="thin">
        <color auto="1"/>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209">
    <xf numFmtId="0" fontId="0" fillId="0" borderId="0" pivotButton="0" quotePrefix="0" xfId="0"/>
    <xf numFmtId="0" fontId="1"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vertical="center"/>
    </xf>
    <xf numFmtId="0" fontId="1" fillId="0" borderId="0" applyAlignment="1" pivotButton="0" quotePrefix="0" xfId="0">
      <alignment vertical="center"/>
    </xf>
    <xf numFmtId="0" fontId="4" fillId="0" borderId="0" applyAlignment="1" pivotButton="0" quotePrefix="0" xfId="0">
      <alignment vertical="center" wrapText="1"/>
    </xf>
    <xf numFmtId="0" fontId="6" fillId="0" borderId="0" applyAlignment="1" pivotButton="0" quotePrefix="0" xfId="0">
      <alignment horizontal="center"/>
    </xf>
    <xf numFmtId="0" fontId="6" fillId="0" borderId="0" pivotButton="0" quotePrefix="0" xfId="0"/>
    <xf numFmtId="0" fontId="6" fillId="0" borderId="0" applyAlignment="1" pivotButton="0" quotePrefix="0" xfId="0">
      <alignment horizontal="center" vertical="center"/>
    </xf>
    <xf numFmtId="0" fontId="2" fillId="2" borderId="3" applyAlignment="1" pivotButton="0" quotePrefix="0" xfId="0">
      <alignment horizontal="center"/>
    </xf>
    <xf numFmtId="0" fontId="2" fillId="3" borderId="3" applyAlignment="1" pivotButton="0" quotePrefix="0" xfId="0">
      <alignment horizontal="center"/>
    </xf>
    <xf numFmtId="0" fontId="2" fillId="4" borderId="3" applyAlignment="1" pivotButton="0" quotePrefix="0" xfId="0">
      <alignment horizontal="center" vertical="center" wrapText="1"/>
    </xf>
    <xf numFmtId="0" fontId="2" fillId="5" borderId="3" applyAlignment="1" pivotButton="0" quotePrefix="0" xfId="0">
      <alignment horizontal="center" vertical="center" wrapText="1"/>
    </xf>
    <xf numFmtId="0" fontId="6" fillId="0" borderId="0" applyAlignment="1" pivotButton="0" quotePrefix="0" xfId="0">
      <alignment vertical="center"/>
    </xf>
    <xf numFmtId="0" fontId="7" fillId="4" borderId="3" applyAlignment="1" pivotButton="0" quotePrefix="0" xfId="0">
      <alignment horizontal="center" wrapText="1"/>
    </xf>
    <xf numFmtId="0" fontId="7" fillId="5" borderId="3" applyAlignment="1" pivotButton="0" quotePrefix="0" xfId="0">
      <alignment horizontal="center" wrapText="1"/>
    </xf>
    <xf numFmtId="0" fontId="3" fillId="0" borderId="4" applyAlignment="1" pivotButton="0" quotePrefix="0" xfId="0">
      <alignment horizontal="center"/>
    </xf>
    <xf numFmtId="0" fontId="3" fillId="0" borderId="3" pivotButton="0" quotePrefix="0" xfId="0"/>
    <xf numFmtId="0" fontId="3" fillId="0" borderId="3" applyAlignment="1" pivotButton="0" quotePrefix="0" xfId="0">
      <alignment horizontal="center" vertical="center"/>
    </xf>
    <xf numFmtId="9" fontId="3" fillId="0" borderId="1" applyAlignment="1" pivotButton="0" quotePrefix="0" xfId="0">
      <alignment horizontal="center"/>
    </xf>
    <xf numFmtId="0" fontId="3" fillId="0" borderId="2" applyAlignment="1" pivotButton="0" quotePrefix="0" xfId="0">
      <alignment horizontal="center"/>
    </xf>
    <xf numFmtId="9" fontId="3" fillId="0" borderId="2" applyAlignment="1" pivotButton="0" quotePrefix="0" xfId="0">
      <alignment horizontal="center"/>
    </xf>
    <xf numFmtId="0" fontId="3" fillId="6" borderId="4" applyAlignment="1" pivotButton="0" quotePrefix="0" xfId="0">
      <alignment horizontal="center"/>
    </xf>
    <xf numFmtId="0" fontId="3" fillId="6" borderId="3" pivotButton="0" quotePrefix="0" xfId="0"/>
    <xf numFmtId="0" fontId="3" fillId="6" borderId="3" applyAlignment="1" pivotButton="0" quotePrefix="0" xfId="0">
      <alignment horizontal="center" vertical="center"/>
    </xf>
    <xf numFmtId="9" fontId="3" fillId="0" borderId="3" applyAlignment="1" pivotButton="0" quotePrefix="0" xfId="0">
      <alignment horizontal="center"/>
    </xf>
    <xf numFmtId="0" fontId="3" fillId="0" borderId="3" applyAlignment="1" pivotButton="0" quotePrefix="0" xfId="0">
      <alignment horizontal="center"/>
    </xf>
    <xf numFmtId="10" fontId="3" fillId="0" borderId="3" applyAlignment="1" pivotButton="0" quotePrefix="0" xfId="0">
      <alignment horizontal="center"/>
    </xf>
    <xf numFmtId="0" fontId="3" fillId="0" borderId="0" applyAlignment="1" pivotButton="0" quotePrefix="0" xfId="0">
      <alignment horizontal="center" vertical="center"/>
    </xf>
    <xf numFmtId="9" fontId="3" fillId="0" borderId="4" applyAlignment="1" pivotButton="0" quotePrefix="0" xfId="0">
      <alignment horizontal="center"/>
    </xf>
    <xf numFmtId="0" fontId="1" fillId="0" borderId="0" applyAlignment="1" pivotButton="0" quotePrefix="0" xfId="0">
      <alignment horizontal="center" vertical="center"/>
    </xf>
    <xf numFmtId="0" fontId="4" fillId="0" borderId="0" applyAlignment="1" pivotButton="0" quotePrefix="0" xfId="0">
      <alignment horizontal="left" vertical="center"/>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left" vertical="top" wrapText="1"/>
    </xf>
    <xf numFmtId="0" fontId="2" fillId="0" borderId="0" applyAlignment="1" pivotButton="0" quotePrefix="0" xfId="0">
      <alignment vertical="center"/>
    </xf>
    <xf numFmtId="0" fontId="8" fillId="0" borderId="0" applyAlignment="1" pivotButton="0" quotePrefix="0" xfId="0">
      <alignment vertical="center"/>
    </xf>
    <xf numFmtId="0" fontId="4" fillId="0" borderId="5" applyAlignment="1" pivotButton="0" quotePrefix="0" xfId="0">
      <alignment horizontal="center" vertical="center" wrapText="1"/>
    </xf>
    <xf numFmtId="0" fontId="2"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7" borderId="6" applyAlignment="1" pivotButton="0" quotePrefix="0" xfId="0">
      <alignment horizontal="center" vertical="center" wrapText="1"/>
    </xf>
    <xf numFmtId="0" fontId="4" fillId="7" borderId="6" applyAlignment="1" pivotButton="0" quotePrefix="0" xfId="0">
      <alignment horizontal="center" vertical="center"/>
    </xf>
    <xf numFmtId="0" fontId="9" fillId="8" borderId="0" applyAlignment="1" pivotButton="0" quotePrefix="0" xfId="0">
      <alignment horizontal="center" vertical="center" wrapText="1"/>
    </xf>
    <xf numFmtId="0" fontId="2" fillId="0" borderId="6" applyAlignment="1" pivotButton="0" quotePrefix="0" xfId="0">
      <alignment horizontal="center" vertical="center" wrapText="1"/>
    </xf>
    <xf numFmtId="0" fontId="4" fillId="9" borderId="7" applyAlignment="1" pivotButton="0" quotePrefix="0" xfId="0">
      <alignment horizontal="center" vertical="center" wrapText="1"/>
    </xf>
    <xf numFmtId="0" fontId="1" fillId="0" borderId="6" applyAlignment="1" pivotButton="0" quotePrefix="0" xfId="0">
      <alignment vertical="center" wrapText="1"/>
    </xf>
    <xf numFmtId="0" fontId="1" fillId="0" borderId="6" applyAlignment="1" pivotButton="0" quotePrefix="0" xfId="0">
      <alignment horizontal="center" vertical="center"/>
    </xf>
    <xf numFmtId="0" fontId="10" fillId="0" borderId="8" applyAlignment="1" pivotButton="0" quotePrefix="0" xfId="0">
      <alignment horizontal="center" vertical="center" wrapText="1"/>
    </xf>
    <xf numFmtId="0" fontId="2" fillId="0" borderId="9" applyAlignment="1" pivotButton="0" quotePrefix="0" xfId="0">
      <alignment horizontal="center" vertical="center" wrapText="1"/>
    </xf>
    <xf numFmtId="0" fontId="5" fillId="0" borderId="6" applyAlignment="1" pivotButton="0" quotePrefix="0" xfId="0">
      <alignment vertical="center" wrapText="1"/>
    </xf>
    <xf numFmtId="0" fontId="1" fillId="0" borderId="6" applyAlignment="1" pivotButton="0" quotePrefix="0" xfId="0">
      <alignment horizontal="center" vertical="center" wrapText="1"/>
    </xf>
    <xf numFmtId="0" fontId="2" fillId="0" borderId="10" applyAlignment="1" pivotButton="0" quotePrefix="0" xfId="0">
      <alignment horizontal="center" vertical="center" wrapText="1"/>
    </xf>
    <xf numFmtId="0" fontId="1" fillId="10" borderId="6" applyAlignment="1" pivotButton="0" quotePrefix="0" xfId="0">
      <alignment vertical="center" wrapText="1"/>
    </xf>
    <xf numFmtId="0" fontId="1" fillId="10" borderId="7" applyAlignment="1" pivotButton="0" quotePrefix="0" xfId="0">
      <alignment vertical="center" wrapText="1"/>
    </xf>
    <xf numFmtId="0" fontId="2" fillId="0" borderId="11" applyAlignment="1" pivotButton="0" quotePrefix="0" xfId="0">
      <alignment horizontal="center" vertical="center" wrapText="1"/>
    </xf>
    <xf numFmtId="0" fontId="1" fillId="0" borderId="10" applyAlignment="1" pivotButton="0" quotePrefix="0" xfId="0">
      <alignment vertical="center" wrapText="1"/>
    </xf>
    <xf numFmtId="0" fontId="1" fillId="0" borderId="5" applyAlignment="1" pivotButton="0" quotePrefix="0" xfId="0">
      <alignment vertical="center" wrapText="1"/>
    </xf>
    <xf numFmtId="0" fontId="1" fillId="0" borderId="7" applyAlignment="1" pivotButton="0" quotePrefix="0" xfId="0">
      <alignment horizontal="center" vertical="center"/>
    </xf>
    <xf numFmtId="0" fontId="3" fillId="0" borderId="0" applyAlignment="1" pivotButton="0" quotePrefix="0" xfId="0">
      <alignment horizontal="left" vertical="center"/>
    </xf>
    <xf numFmtId="0" fontId="4" fillId="0" borderId="10" applyAlignment="1" pivotButton="0" quotePrefix="0" xfId="0">
      <alignment horizontal="center" vertical="center" wrapText="1"/>
    </xf>
    <xf numFmtId="0" fontId="4" fillId="0" borderId="0" applyAlignment="1" pivotButton="0" quotePrefix="0" xfId="0">
      <alignment wrapText="1"/>
    </xf>
    <xf numFmtId="0" fontId="1" fillId="0" borderId="0" applyAlignment="1" pivotButton="0" quotePrefix="0" xfId="0">
      <alignment wrapText="1"/>
    </xf>
    <xf numFmtId="0" fontId="11" fillId="0" borderId="6" applyAlignment="1" pivotButton="0" quotePrefix="0" xfId="0">
      <alignment horizontal="center" vertical="center" wrapText="1"/>
    </xf>
    <xf numFmtId="0" fontId="12" fillId="11" borderId="12" applyAlignment="1" pivotButton="0" quotePrefix="0" xfId="0">
      <alignment horizontal="center" vertical="center" wrapText="1" readingOrder="1"/>
    </xf>
    <xf numFmtId="0" fontId="2" fillId="0" borderId="6" applyAlignment="1" pivotButton="0" quotePrefix="0" xfId="0">
      <alignment horizontal="center" vertical="center"/>
    </xf>
    <xf numFmtId="0" fontId="1" fillId="0" borderId="6" applyAlignment="1" pivotButton="0" quotePrefix="0" xfId="0">
      <alignment vertical="center"/>
    </xf>
    <xf numFmtId="0" fontId="14" fillId="0" borderId="0" applyAlignment="1" pivotButton="0" quotePrefix="0" xfId="0">
      <alignment horizontal="right" vertical="center"/>
    </xf>
    <xf numFmtId="0" fontId="14" fillId="0" borderId="0" applyAlignment="1" pivotButton="0" quotePrefix="0" xfId="0">
      <alignment horizontal="center" vertical="center"/>
    </xf>
    <xf numFmtId="0" fontId="16" fillId="8" borderId="0" applyAlignment="1" pivotButton="0" quotePrefix="0" xfId="0">
      <alignment horizontal="center" vertical="center"/>
    </xf>
    <xf numFmtId="0" fontId="17" fillId="8" borderId="0" applyAlignment="1" pivotButton="0" quotePrefix="0" xfId="0">
      <alignment horizontal="center" vertical="center" wrapText="1"/>
    </xf>
    <xf numFmtId="0" fontId="18" fillId="0" borderId="8" applyAlignment="1" pivotButton="0" quotePrefix="0" xfId="0">
      <alignment horizontal="left" vertical="center" wrapText="1"/>
    </xf>
    <xf numFmtId="164" fontId="14" fillId="0" borderId="8" applyAlignment="1" pivotButton="0" quotePrefix="0" xfId="0">
      <alignment horizontal="center" vertical="center"/>
    </xf>
    <xf numFmtId="1" fontId="19" fillId="0" borderId="8" applyAlignment="1" pivotButton="0" quotePrefix="0" xfId="0">
      <alignment horizontal="center" vertical="center"/>
    </xf>
    <xf numFmtId="0" fontId="20" fillId="0" borderId="8" applyAlignment="1" pivotButton="0" quotePrefix="0" xfId="0">
      <alignment horizontal="left" vertical="center" wrapText="1"/>
    </xf>
    <xf numFmtId="0" fontId="21" fillId="8" borderId="8" applyAlignment="1" pivotButton="0" quotePrefix="0" xfId="0">
      <alignment horizontal="left" vertical="center"/>
    </xf>
    <xf numFmtId="164" fontId="22" fillId="8" borderId="8" applyAlignment="1" pivotButton="0" quotePrefix="0" xfId="0">
      <alignment horizontal="center" vertical="center"/>
    </xf>
    <xf numFmtId="0" fontId="0" fillId="14" borderId="0" pivotButton="0" quotePrefix="0" xfId="0"/>
    <xf numFmtId="0" fontId="23" fillId="0" borderId="8" applyAlignment="1" pivotButton="0" quotePrefix="0" xfId="0">
      <alignment horizontal="left" vertical="center"/>
    </xf>
    <xf numFmtId="0" fontId="22" fillId="13" borderId="8" applyAlignment="1" pivotButton="0" quotePrefix="0" xfId="0">
      <alignment horizontal="left" vertical="center"/>
    </xf>
    <xf numFmtId="164" fontId="24" fillId="13" borderId="8" applyAlignment="1" pivotButton="0" quotePrefix="0" xfId="0">
      <alignment horizontal="center" vertical="center"/>
    </xf>
    <xf numFmtId="0" fontId="0" fillId="13" borderId="0" pivotButton="0" quotePrefix="0" xfId="0"/>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25" fillId="0" borderId="6" applyAlignment="1" pivotButton="0" quotePrefix="0" xfId="0">
      <alignment horizontal="left" vertical="center" wrapText="1"/>
    </xf>
    <xf numFmtId="0" fontId="25" fillId="0" borderId="6" applyAlignment="1" pivotButton="0" quotePrefix="0" xfId="0">
      <alignment horizontal="center" vertical="center"/>
    </xf>
    <xf numFmtId="0" fontId="1" fillId="10" borderId="9" applyAlignment="1" pivotButton="0" quotePrefix="0" xfId="0">
      <alignment horizontal="left" vertical="center" wrapText="1"/>
    </xf>
    <xf numFmtId="0" fontId="1" fillId="0" borderId="7" applyAlignment="1" pivotButton="0" quotePrefix="0" xfId="0">
      <alignment vertical="center" wrapText="1"/>
    </xf>
    <xf numFmtId="0" fontId="1" fillId="0" borderId="13" applyAlignment="1" pivotButton="0" quotePrefix="0" xfId="0">
      <alignment vertical="center" wrapText="1"/>
    </xf>
    <xf numFmtId="0" fontId="5" fillId="10" borderId="7" applyAlignment="1" pivotButton="0" quotePrefix="0" xfId="0">
      <alignment vertical="center" wrapText="1"/>
    </xf>
    <xf numFmtId="0" fontId="26" fillId="10" borderId="6" applyAlignment="1" pivotButton="0" quotePrefix="0" xfId="0">
      <alignment vertical="center" wrapText="1"/>
    </xf>
    <xf numFmtId="0" fontId="26" fillId="0" borderId="6" applyAlignment="1" pivotButton="0" quotePrefix="0" xfId="0">
      <alignment vertical="center" wrapText="1"/>
    </xf>
    <xf numFmtId="0" fontId="12" fillId="0" borderId="14" applyAlignment="1" pivotButton="0" quotePrefix="0" xfId="0">
      <alignment horizontal="center" vertical="center" wrapText="1" indent="1" readingOrder="1"/>
    </xf>
    <xf numFmtId="0" fontId="12" fillId="0" borderId="15" applyAlignment="1" pivotButton="0" quotePrefix="0" xfId="0">
      <alignment horizontal="center" vertical="center" wrapText="1" indent="1" readingOrder="1"/>
    </xf>
    <xf numFmtId="0" fontId="28" fillId="0" borderId="14" applyAlignment="1" pivotButton="0" quotePrefix="0" xfId="0">
      <alignment horizontal="left" vertical="center" wrapText="1" indent="1" readingOrder="1"/>
    </xf>
    <xf numFmtId="0" fontId="29" fillId="0" borderId="0" applyAlignment="1" pivotButton="0" quotePrefix="0" xfId="0">
      <alignment vertical="center" wrapText="1"/>
    </xf>
    <xf numFmtId="0" fontId="4" fillId="0" borderId="7" applyAlignment="1" pivotButton="0" quotePrefix="0" xfId="0">
      <alignment horizontal="center" vertical="center" wrapText="1"/>
    </xf>
    <xf numFmtId="0" fontId="26" fillId="10" borderId="7" applyAlignment="1" pivotButton="0" quotePrefix="0" xfId="0">
      <alignment vertical="center" wrapText="1"/>
    </xf>
    <xf numFmtId="0" fontId="1" fillId="10" borderId="10" applyAlignment="1" pivotButton="0" quotePrefix="0" xfId="0">
      <alignment vertical="center" wrapText="1"/>
    </xf>
    <xf numFmtId="0" fontId="1" fillId="10" borderId="13" applyAlignment="1" pivotButton="0" quotePrefix="0" xfId="0">
      <alignment vertical="center" wrapText="1"/>
    </xf>
    <xf numFmtId="0" fontId="5" fillId="10" borderId="6" applyAlignment="1" pivotButton="0" quotePrefix="0" xfId="0">
      <alignment vertical="center" wrapText="1"/>
    </xf>
    <xf numFmtId="0" fontId="5" fillId="10" borderId="5" applyAlignment="1" pivotButton="0" quotePrefix="0" xfId="0">
      <alignment vertical="center" wrapText="1"/>
    </xf>
    <xf numFmtId="0" fontId="26" fillId="10" borderId="13" applyAlignment="1" pivotButton="0" quotePrefix="0" xfId="0">
      <alignment vertical="center" wrapText="1"/>
    </xf>
    <xf numFmtId="0" fontId="1" fillId="10" borderId="0" applyAlignment="1" pivotButton="0" quotePrefix="0" xfId="0">
      <alignment vertical="center"/>
    </xf>
    <xf numFmtId="0" fontId="25" fillId="0" borderId="10" applyAlignment="1" pivotButton="0" quotePrefix="0" xfId="0">
      <alignment horizontal="center" vertical="center"/>
    </xf>
    <xf numFmtId="0" fontId="1" fillId="10" borderId="5" applyAlignment="1" pivotButton="0" quotePrefix="0" xfId="0">
      <alignment vertical="center" wrapText="1"/>
    </xf>
    <xf numFmtId="0" fontId="1" fillId="15" borderId="0" applyAlignment="1" pivotButton="0" quotePrefix="0" xfId="0">
      <alignment vertical="center"/>
    </xf>
    <xf numFmtId="0" fontId="0" fillId="15" borderId="0" pivotButton="0" quotePrefix="0" xfId="0"/>
    <xf numFmtId="0" fontId="2" fillId="15" borderId="0" applyAlignment="1" pivotButton="0" quotePrefix="0" xfId="0">
      <alignment vertical="center"/>
    </xf>
    <xf numFmtId="0" fontId="4" fillId="15" borderId="6" applyAlignment="1" pivotButton="0" quotePrefix="0" xfId="0">
      <alignment horizontal="center" vertical="center" wrapText="1"/>
    </xf>
    <xf numFmtId="0" fontId="4" fillId="15" borderId="5" applyAlignment="1" pivotButton="0" quotePrefix="0" xfId="0">
      <alignment horizontal="center" vertical="center" wrapText="1"/>
    </xf>
    <xf numFmtId="0" fontId="4" fillId="15" borderId="11" applyAlignment="1" pivotButton="0" quotePrefix="0" xfId="0">
      <alignment horizontal="center" vertical="center" wrapText="1"/>
    </xf>
    <xf numFmtId="0" fontId="0" fillId="15" borderId="6" applyAlignment="1" pivotButton="0" quotePrefix="0" xfId="0">
      <alignment wrapText="1"/>
    </xf>
    <xf numFmtId="0" fontId="4" fillId="15" borderId="7" applyAlignment="1" pivotButton="0" quotePrefix="0" xfId="0">
      <alignment horizontal="center" vertical="center" wrapText="1"/>
    </xf>
    <xf numFmtId="0" fontId="9" fillId="8" borderId="0" applyAlignment="1" pivotButton="0" quotePrefix="0" xfId="0">
      <alignment horizontal="center" vertical="center"/>
    </xf>
    <xf numFmtId="0" fontId="1" fillId="0" borderId="6" applyAlignment="1" pivotButton="0" quotePrefix="0" xfId="0">
      <alignment wrapText="1"/>
    </xf>
    <xf numFmtId="0" fontId="1" fillId="0" borderId="16" applyAlignment="1" pivotButton="0" quotePrefix="0" xfId="0">
      <alignment vertical="center" wrapText="1"/>
    </xf>
    <xf numFmtId="0" fontId="32" fillId="0" borderId="8" applyAlignment="1" pivotButton="0" quotePrefix="0" xfId="0">
      <alignment horizontal="left" vertical="center" wrapText="1"/>
    </xf>
    <xf numFmtId="1" fontId="33" fillId="5" borderId="8" applyAlignment="1" pivotButton="0" quotePrefix="0" xfId="0">
      <alignment horizontal="center" vertical="center"/>
    </xf>
    <xf numFmtId="0" fontId="34" fillId="13" borderId="0" applyAlignment="1" pivotButton="0" quotePrefix="0" xfId="0">
      <alignment horizontal="center" vertical="center"/>
    </xf>
    <xf numFmtId="0" fontId="14" fillId="0" borderId="8" applyAlignment="1" pivotButton="0" quotePrefix="0" xfId="0">
      <alignment horizontal="left" vertical="center"/>
    </xf>
    <xf numFmtId="164" fontId="35" fillId="0" borderId="8" applyAlignment="1" pivotButton="0" quotePrefix="0" xfId="0">
      <alignment horizontal="center" vertical="center"/>
    </xf>
    <xf numFmtId="1" fontId="36" fillId="0" borderId="8" applyAlignment="1" pivotButton="0" quotePrefix="0" xfId="0">
      <alignment horizontal="center" vertical="center"/>
    </xf>
    <xf numFmtId="0" fontId="37" fillId="13" borderId="8" applyAlignment="1" pivotButton="0" quotePrefix="0" xfId="0">
      <alignment horizontal="left" vertical="center"/>
    </xf>
    <xf numFmtId="164" fontId="37" fillId="13" borderId="8" applyAlignment="1" pivotButton="0" quotePrefix="0" xfId="0">
      <alignment horizontal="center" vertical="center"/>
    </xf>
    <xf numFmtId="1" fontId="24" fillId="13" borderId="8" applyAlignment="1" pivotButton="0" quotePrefix="0" xfId="0">
      <alignment horizontal="center" vertical="center"/>
    </xf>
    <xf numFmtId="0" fontId="0" fillId="0" borderId="8" pivotButton="0" quotePrefix="0" xfId="0"/>
    <xf numFmtId="164" fontId="20" fillId="4" borderId="8" applyAlignment="1" pivotButton="0" quotePrefix="0" xfId="0">
      <alignment horizontal="center" vertical="center"/>
    </xf>
    <xf numFmtId="1" fontId="38" fillId="0" borderId="8" applyAlignment="1" pivotButton="0" quotePrefix="0" xfId="0">
      <alignment horizontal="center" vertical="center"/>
    </xf>
    <xf numFmtId="0" fontId="39" fillId="18" borderId="18" applyAlignment="1" pivotButton="0" quotePrefix="0" xfId="0">
      <alignment readingOrder="1"/>
    </xf>
    <xf numFmtId="0" fontId="39" fillId="18" borderId="19" applyAlignment="1" pivotButton="0" quotePrefix="0" xfId="0">
      <alignment readingOrder="1"/>
    </xf>
    <xf numFmtId="0" fontId="39" fillId="18" borderId="20" applyAlignment="1" pivotButton="0" quotePrefix="0" xfId="0">
      <alignment readingOrder="1"/>
    </xf>
    <xf numFmtId="0" fontId="2" fillId="0" borderId="0" pivotButton="0" quotePrefix="0" xfId="0"/>
    <xf numFmtId="0" fontId="3" fillId="0" borderId="0" pivotButton="0" quotePrefix="0" xfId="0"/>
    <xf numFmtId="0" fontId="1" fillId="0" borderId="6" applyAlignment="1" pivotButton="0" quotePrefix="0" xfId="0">
      <alignment vertical="top" wrapText="1"/>
    </xf>
    <xf numFmtId="0" fontId="2"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4" fillId="9" borderId="6" applyAlignment="1" pivotButton="0" quotePrefix="0" xfId="0">
      <alignment horizontal="center" vertical="center" wrapText="1"/>
    </xf>
    <xf numFmtId="0" fontId="1" fillId="0" borderId="6" applyAlignment="1" pivotButton="0" quotePrefix="0" xfId="0">
      <alignment horizontal="left" vertical="center" wrapText="1"/>
    </xf>
    <xf numFmtId="0" fontId="16" fillId="8" borderId="0" applyAlignment="1" pivotButton="0" quotePrefix="0" xfId="0">
      <alignment horizontal="center" vertical="center" wrapText="1"/>
    </xf>
    <xf numFmtId="0" fontId="1" fillId="10" borderId="6" applyAlignment="1" pivotButton="0" quotePrefix="0" xfId="0">
      <alignment horizontal="left" vertical="center" wrapText="1"/>
    </xf>
    <xf numFmtId="0" fontId="1" fillId="10" borderId="5" applyAlignment="1" pivotButton="0" quotePrefix="0" xfId="0">
      <alignment horizontal="left" vertical="center" wrapText="1"/>
    </xf>
    <xf numFmtId="0" fontId="30" fillId="0" borderId="6" applyAlignment="1" pivotButton="0" quotePrefix="0" xfId="0">
      <alignment horizontal="center" vertical="center" wrapText="1" readingOrder="1"/>
    </xf>
    <xf numFmtId="0" fontId="4" fillId="0" borderId="6" applyAlignment="1" pivotButton="0" quotePrefix="0" xfId="0">
      <alignment horizontal="center" vertical="center"/>
    </xf>
    <xf numFmtId="0" fontId="21" fillId="8" borderId="8" applyAlignment="1" pivotButton="0" quotePrefix="0" xfId="0">
      <alignment horizontal="center" vertical="center" wrapText="1"/>
    </xf>
    <xf numFmtId="0" fontId="4" fillId="9" borderId="6" applyAlignment="1" pivotButton="0" quotePrefix="0" xfId="0">
      <alignment horizontal="center" vertical="center" wrapText="1"/>
    </xf>
    <xf numFmtId="0" fontId="1" fillId="0" borderId="6" applyAlignment="1" pivotButton="0" quotePrefix="0" xfId="0">
      <alignment horizontal="left" vertical="center" wrapText="1"/>
    </xf>
    <xf numFmtId="0" fontId="2"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wrapText="1"/>
    </xf>
    <xf numFmtId="0" fontId="3" fillId="0" borderId="0" applyAlignment="1" pivotButton="0" quotePrefix="0" xfId="0">
      <alignment vertical="center" wrapText="1"/>
    </xf>
    <xf numFmtId="0" fontId="3" fillId="0" borderId="0" pivotButton="0" quotePrefix="0" xfId="0"/>
    <xf numFmtId="0" fontId="2" fillId="0" borderId="0" applyAlignment="1" pivotButton="0" quotePrefix="0" xfId="0">
      <alignment horizontal="left" vertical="center" wrapText="1"/>
    </xf>
    <xf numFmtId="0" fontId="1" fillId="0" borderId="0" applyAlignment="1" pivotButton="0" quotePrefix="0" xfId="0">
      <alignment horizontal="left" wrapText="1"/>
    </xf>
    <xf numFmtId="0" fontId="3"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2" applyAlignment="1" pivotButton="0" quotePrefix="0" xfId="0">
      <alignment horizontal="center"/>
    </xf>
    <xf numFmtId="0" fontId="2" fillId="2" borderId="2" applyAlignment="1" pivotButton="0" quotePrefix="0" xfId="0">
      <alignment horizontal="center"/>
    </xf>
    <xf numFmtId="0" fontId="2" fillId="3" borderId="2" applyAlignment="1" pivotButton="0" quotePrefix="0" xfId="0">
      <alignment horizontal="center"/>
    </xf>
    <xf numFmtId="0" fontId="2" fillId="0" borderId="1" applyAlignment="1" pivotButton="0" quotePrefix="0" xfId="0">
      <alignment horizontal="center" vertical="center"/>
    </xf>
    <xf numFmtId="0" fontId="3" fillId="12" borderId="6" applyAlignment="1" pivotButton="0" quotePrefix="0" xfId="0">
      <alignment horizontal="left" vertical="center"/>
    </xf>
    <xf numFmtId="0" fontId="1" fillId="12" borderId="6" applyAlignment="1" pivotButton="0" quotePrefix="0" xfId="0">
      <alignment horizontal="left" vertical="center"/>
    </xf>
    <xf numFmtId="0" fontId="13" fillId="13" borderId="0" applyAlignment="1" pivotButton="0" quotePrefix="0" xfId="0">
      <alignment horizontal="left" vertical="center"/>
    </xf>
    <xf numFmtId="0" fontId="15" fillId="0" borderId="0" applyAlignment="1" pivotButton="0" quotePrefix="0" xfId="0">
      <alignment horizontal="left" vertical="center"/>
    </xf>
    <xf numFmtId="0" fontId="16" fillId="8" borderId="0" applyAlignment="1" pivotButton="0" quotePrefix="0" xfId="0">
      <alignment horizontal="center" vertical="center" wrapText="1"/>
    </xf>
    <xf numFmtId="0" fontId="15" fillId="0" borderId="0" applyAlignment="1" pivotButton="0" quotePrefix="0" xfId="0">
      <alignment horizontal="left" vertical="center" wrapText="1"/>
    </xf>
    <xf numFmtId="0" fontId="5" fillId="0" borderId="6" applyAlignment="1" pivotButton="0" quotePrefix="0" xfId="0">
      <alignment horizontal="left" vertical="center" wrapText="1"/>
    </xf>
    <xf numFmtId="0" fontId="1" fillId="0" borderId="5" applyAlignment="1" pivotButton="0" quotePrefix="0" xfId="0">
      <alignment horizontal="left" vertical="center" wrapText="1"/>
    </xf>
    <xf numFmtId="0" fontId="26" fillId="10" borderId="6" applyAlignment="1" pivotButton="0" quotePrefix="0" xfId="0">
      <alignment horizontal="left" vertical="center" wrapText="1"/>
    </xf>
    <xf numFmtId="0" fontId="27" fillId="11" borderId="15" applyAlignment="1" pivotButton="0" quotePrefix="0" xfId="0">
      <alignment horizontal="center" vertical="center" wrapText="1" readingOrder="1"/>
    </xf>
    <xf numFmtId="0" fontId="1" fillId="10" borderId="6" applyAlignment="1" pivotButton="0" quotePrefix="0" xfId="0">
      <alignment horizontal="left" vertical="center" wrapText="1"/>
    </xf>
    <xf numFmtId="0" fontId="1" fillId="10" borderId="5" applyAlignment="1" pivotButton="0" quotePrefix="0" xfId="0">
      <alignment horizontal="left" vertical="center" wrapText="1"/>
    </xf>
    <xf numFmtId="0" fontId="30" fillId="0" borderId="6" applyAlignment="1" pivotButton="0" quotePrefix="0" xfId="0">
      <alignment horizontal="center" vertical="center" wrapText="1" readingOrder="1"/>
    </xf>
    <xf numFmtId="0" fontId="4" fillId="0" borderId="6" applyAlignment="1" pivotButton="0" quotePrefix="0" xfId="0">
      <alignment horizontal="center" vertical="center"/>
    </xf>
    <xf numFmtId="0" fontId="31" fillId="0" borderId="6" applyAlignment="1" pivotButton="0" quotePrefix="0" xfId="0">
      <alignment horizontal="center" vertical="center" wrapText="1"/>
    </xf>
    <xf numFmtId="0" fontId="5" fillId="10" borderId="6" applyAlignment="1" pivotButton="0" quotePrefix="0" xfId="0">
      <alignment horizontal="left" vertical="center" wrapText="1"/>
    </xf>
    <xf numFmtId="0" fontId="3" fillId="10" borderId="6" applyAlignment="1" pivotButton="0" quotePrefix="0" xfId="0">
      <alignment horizontal="left" vertical="center" wrapText="1"/>
    </xf>
    <xf numFmtId="0" fontId="1" fillId="10" borderId="10" applyAlignment="1" pivotButton="0" quotePrefix="0" xfId="0">
      <alignment horizontal="left" vertical="center" wrapText="1"/>
    </xf>
    <xf numFmtId="0" fontId="1" fillId="0" borderId="10" applyAlignment="1" pivotButton="0" quotePrefix="0" xfId="0">
      <alignment horizontal="left" vertical="center" wrapText="1"/>
    </xf>
    <xf numFmtId="0" fontId="1" fillId="15" borderId="0" applyAlignment="1" pivotButton="0" quotePrefix="0" xfId="0">
      <alignment horizontal="left" vertical="center"/>
    </xf>
    <xf numFmtId="0" fontId="1" fillId="15" borderId="0" applyAlignment="1" pivotButton="0" quotePrefix="0" xfId="0">
      <alignment horizontal="left" vertical="center" wrapText="1"/>
    </xf>
    <xf numFmtId="0" fontId="21" fillId="8" borderId="8" applyAlignment="1" pivotButton="0" quotePrefix="0" xfId="0">
      <alignment horizontal="center" vertical="center" wrapText="1"/>
    </xf>
    <xf numFmtId="0" fontId="18" fillId="0" borderId="17" applyAlignment="1" pivotButton="0" quotePrefix="0" xfId="0">
      <alignment horizontal="center" vertical="center" wrapText="1"/>
    </xf>
    <xf numFmtId="0" fontId="16" fillId="13" borderId="17" applyAlignment="1" pivotButton="0" quotePrefix="0" xfId="0">
      <alignment horizontal="center" vertical="center" wrapText="1"/>
    </xf>
    <xf numFmtId="0" fontId="37" fillId="13" borderId="0" applyAlignment="1" pivotButton="0" quotePrefix="0" xfId="0">
      <alignment horizontal="left" vertical="center"/>
    </xf>
    <xf numFmtId="0" fontId="16" fillId="13" borderId="0" applyAlignment="1" pivotButton="0" quotePrefix="0" xfId="0">
      <alignment horizontal="center" vertical="center"/>
    </xf>
    <xf numFmtId="0" fontId="16" fillId="16" borderId="0" applyAlignment="1" pivotButton="0" quotePrefix="0" xfId="0">
      <alignment horizontal="center" vertical="center"/>
    </xf>
    <xf numFmtId="0" fontId="16" fillId="17" borderId="0" applyAlignment="1" pivotButton="0" quotePrefix="0" xfId="0">
      <alignment horizontal="center" vertical="center"/>
    </xf>
    <xf numFmtId="0" fontId="0" fillId="0" borderId="2" pivotButton="0" quotePrefix="0" xfId="0"/>
    <xf numFmtId="0" fontId="0" fillId="0" borderId="23" pivotButton="0" quotePrefix="0" xfId="0"/>
    <xf numFmtId="0" fontId="0" fillId="0" borderId="25" pivotButton="0" quotePrefix="0" xfId="0"/>
    <xf numFmtId="0" fontId="0" fillId="0" borderId="4" pivotButton="0" quotePrefix="0" xfId="0"/>
    <xf numFmtId="0" fontId="0" fillId="0" borderId="27" pivotButton="0" quotePrefix="0" xfId="0"/>
    <xf numFmtId="0" fontId="0" fillId="0" borderId="7" pivotButton="0" quotePrefix="0" xfId="0"/>
    <xf numFmtId="0" fontId="0" fillId="0" borderId="29" pivotButton="0" quotePrefix="0" xfId="0"/>
    <xf numFmtId="0" fontId="0" fillId="0" borderId="9" pivotButton="0" quotePrefix="0" xfId="0"/>
    <xf numFmtId="0" fontId="0" fillId="0" borderId="31" pivotButton="0" quotePrefix="0" xfId="0"/>
    <xf numFmtId="0" fontId="0" fillId="0" borderId="28" pivotButton="0" quotePrefix="0" xfId="0"/>
    <xf numFmtId="0" fontId="0" fillId="0" borderId="32" pivotButton="0" quotePrefix="0" xfId="0"/>
    <xf numFmtId="0" fontId="0" fillId="0" borderId="34" pivotButton="0" quotePrefix="0" xfId="0"/>
    <xf numFmtId="0" fontId="0" fillId="0" borderId="3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C5E0B4"/>
      <rgbColor rgb="FF7030A0"/>
      <rgbColor rgb="FFFFF2CC"/>
      <rgbColor rgb="FFDDEBF7"/>
      <rgbColor rgb="FF660066"/>
      <rgbColor rgb="FFEDEDED"/>
      <rgbColor rgb="FF0066CC"/>
      <rgbColor rgb="FFD0CECE"/>
      <rgbColor rgb="FF000080"/>
      <rgbColor rgb="FFFF00FF"/>
      <rgbColor rgb="FFC6E0B4"/>
      <rgbColor rgb="FF00FFFF"/>
      <rgbColor rgb="FF800080"/>
      <rgbColor rgb="FF800000"/>
      <rgbColor rgb="FF008080"/>
      <rgbColor rgb="FF0000FF"/>
      <rgbColor rgb="FF00CCFF"/>
      <rgbColor rgb="FFF2F2F2"/>
      <rgbColor rgb="FFE2EFDA"/>
      <rgbColor rgb="FFFFE699"/>
      <rgbColor rgb="FFC4C7C5"/>
      <rgbColor rgb="FFE7E6E6"/>
      <rgbColor rgb="FFDA99E3"/>
      <rgbColor rgb="FFFFD966"/>
      <rgbColor rgb="FF3366FF"/>
      <rgbColor rgb="FF33CCCC"/>
      <rgbColor rgb="FFA9D18E"/>
      <rgbColor rgb="FFFFC000"/>
      <rgbColor rgb="FFFF9900"/>
      <rgbColor rgb="FFED7D31"/>
      <rgbColor rgb="FF595959"/>
      <rgbColor rgb="FFA6A6A6"/>
      <rgbColor rgb="FF1F3864"/>
      <rgbColor rgb="FF339966"/>
      <rgbColor rgb="FF003300"/>
      <rgbColor rgb="FF333300"/>
      <rgbColor rgb="FF993300"/>
      <rgbColor rgb="FF993366"/>
      <rgbColor rgb="FF2E5496"/>
      <rgbColor rgb="FF1F1F1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topLeftCell="A25" zoomScale="146" zoomScaleNormal="146" workbookViewId="0">
      <selection activeCell="B28" sqref="B28"/>
    </sheetView>
  </sheetViews>
  <sheetFormatPr baseColWidth="8" defaultColWidth="9.140625" defaultRowHeight="16.5" customHeight="1"/>
  <cols>
    <col width="21.7109375" customWidth="1" style="1" min="1" max="1"/>
    <col width="15.140625" customWidth="1" style="1" min="2" max="2"/>
    <col width="21.7109375" customWidth="1" style="1" min="3" max="3"/>
    <col width="26.85546875" customWidth="1" style="1" min="4" max="4"/>
    <col width="9.140625" customWidth="1" style="1" min="5" max="16384"/>
  </cols>
  <sheetData>
    <row r="1" ht="16.5" customHeight="1">
      <c r="A1" s="155" t="inlineStr">
        <is>
          <t>the organization 100 Competencies Mapping</t>
        </is>
      </c>
      <c r="B1" s="155" t="n"/>
      <c r="C1" s="159" t="n"/>
      <c r="D1" s="159" t="n"/>
      <c r="E1" s="159" t="n"/>
    </row>
    <row r="2" ht="16.5" customHeight="1">
      <c r="A2" s="159" t="n"/>
      <c r="B2" s="159" t="n"/>
      <c r="C2" s="159" t="n"/>
      <c r="D2" s="159" t="n"/>
      <c r="E2" s="159" t="n"/>
    </row>
    <row r="3" ht="16.5" customHeight="1">
      <c r="A3" s="154" t="inlineStr">
        <is>
          <t>Matrix</t>
        </is>
      </c>
      <c r="B3" s="154" t="inlineStr">
        <is>
          <t>Marga Budaya the organization Mapping</t>
        </is>
      </c>
      <c r="C3" s="154" t="inlineStr">
        <is>
          <t>Competencies</t>
        </is>
      </c>
      <c r="D3" s="155" t="inlineStr">
        <is>
          <t>Assessment Method</t>
        </is>
      </c>
      <c r="E3" s="155" t="inlineStr">
        <is>
          <t>Activity</t>
        </is>
      </c>
    </row>
    <row r="4" ht="16.5" customHeight="1">
      <c r="E4" s="159" t="n"/>
    </row>
    <row r="5" ht="16.5" customHeight="1">
      <c r="A5" s="156" t="inlineStr">
        <is>
          <t>Potential
“How ready is this person for greater responsibility?”</t>
        </is>
      </c>
      <c r="B5" s="157" t="inlineStr">
        <is>
          <t>KARYA</t>
        </is>
      </c>
      <c r="C5" s="159" t="inlineStr">
        <is>
          <t>Profesionalisme</t>
        </is>
      </c>
      <c r="D5" s="157" t="inlineStr">
        <is>
          <t>Psychometry Assessment</t>
        </is>
      </c>
      <c r="E5" s="159" t="n"/>
    </row>
    <row r="6" ht="16.5" customHeight="1">
      <c r="B6" s="157" t="inlineStr">
        <is>
          <t>RAKSA</t>
        </is>
      </c>
      <c r="C6" s="159" t="inlineStr">
        <is>
          <t>Integritas</t>
        </is>
      </c>
      <c r="E6" s="159" t="n"/>
    </row>
    <row r="7" ht="16.5" customHeight="1">
      <c r="B7" s="157" t="inlineStr">
        <is>
          <t>SEVA</t>
        </is>
      </c>
      <c r="C7" s="159" t="inlineStr">
        <is>
          <t>Orientasi Pelanggan</t>
        </is>
      </c>
      <c r="E7" s="159" t="n"/>
    </row>
    <row r="8" ht="16.5" customHeight="1">
      <c r="B8" s="157" t="inlineStr">
        <is>
          <t>KARYA</t>
        </is>
      </c>
      <c r="C8" s="159" t="inlineStr">
        <is>
          <t>Penyempurnaan Tiada Henti</t>
        </is>
      </c>
      <c r="E8" s="159" t="n"/>
    </row>
    <row r="9" ht="16.5" customHeight="1">
      <c r="A9" s="158" t="inlineStr">
        <is>
          <t>Behavior
“How consistently does this person demonstrate the expected behaviors during bootcamp?”</t>
        </is>
      </c>
      <c r="B9" s="157" t="inlineStr">
        <is>
          <t>RAKSA</t>
        </is>
      </c>
      <c r="C9" s="159" t="inlineStr">
        <is>
          <t>Karsa Satya</t>
        </is>
      </c>
      <c r="D9" s="159" t="inlineStr">
        <is>
          <t>Behavior Observation</t>
        </is>
      </c>
      <c r="E9" s="159" t="n"/>
    </row>
    <row r="10" ht="16.5" customHeight="1">
      <c r="B10" s="157" t="inlineStr">
        <is>
          <t>KARYA</t>
        </is>
      </c>
      <c r="C10" s="159" t="inlineStr">
        <is>
          <t>Karsa Daya</t>
        </is>
      </c>
      <c r="E10" s="159" t="n"/>
    </row>
    <row r="11" ht="16.5" customHeight="1">
      <c r="B11" s="157" t="inlineStr">
        <is>
          <t>SEVA</t>
        </is>
      </c>
      <c r="C11" s="159" t="inlineStr">
        <is>
          <t>Karsa Rasa</t>
        </is>
      </c>
      <c r="E11" s="159" t="n"/>
    </row>
    <row r="12" ht="16.5" customHeight="1">
      <c r="B12" s="157" t="inlineStr">
        <is>
          <t>KARYA</t>
        </is>
      </c>
      <c r="C12" s="159" t="inlineStr">
        <is>
          <t>Karsa Mahira</t>
        </is>
      </c>
      <c r="E12" s="159" t="n"/>
    </row>
    <row r="13" ht="16.5" customHeight="1">
      <c r="B13" s="157" t="inlineStr">
        <is>
          <t>KARYA</t>
        </is>
      </c>
      <c r="C13" s="159" t="inlineStr">
        <is>
          <t>Karsa Tumbuh</t>
        </is>
      </c>
      <c r="E13" s="159" t="n"/>
    </row>
    <row r="14" ht="16.5" customHeight="1">
      <c r="B14" s="157" t="inlineStr">
        <is>
          <t>KARYA</t>
        </is>
      </c>
      <c r="C14" s="159" t="inlineStr">
        <is>
          <t>Karsa Jaya</t>
        </is>
      </c>
      <c r="E14" s="159" t="n"/>
    </row>
    <row r="15"/>
    <row r="16" ht="16.5" customHeight="1">
      <c r="A16" s="160" t="inlineStr">
        <is>
          <t>Marga Budaya the organization: 4 Nilai: Jalan Budaya untuk Mewujudkan 4 Nilai dan 6 Karsa</t>
        </is>
      </c>
    </row>
    <row r="17" ht="61.5" customHeight="1">
      <c r="A17" s="2" t="inlineStr">
        <is>
          <t>SEVA</t>
        </is>
      </c>
      <c r="B17" s="161" t="inlineStr">
        <is>
          <t>The Way We SERVE
Customer First 
Empathy • Customer First • Experience
Melayani pelanggan sepenuh hati dengan empati, tanggung jawab, dan solusi terbaik.</t>
        </is>
      </c>
    </row>
    <row r="18" ht="61.5" customHeight="1">
      <c r="A18" s="2" t="inlineStr">
        <is>
          <t>KARYA</t>
        </is>
      </c>
      <c r="B18" s="161" t="inlineStr">
        <is>
          <t>The Way We PERFORM
BRAVE 
Professional • Agile • Execute
Berani berkarya dengan profesionalisme, kecepatan, dan penyempurnaan berkelanjutan.</t>
        </is>
      </c>
    </row>
    <row r="19" ht="61.5" customHeight="1">
      <c r="A19" s="2" t="inlineStr">
        <is>
          <t>RAKSA</t>
        </is>
      </c>
      <c r="B19" s="161" t="inlineStr">
        <is>
          <t>The Way We PROTECT
Zero Fraud
Integrity • Risk-Aware • Trust
Menjaga amanah melalui integritas, kesadaran risiko, dan keputusan yang bijaksana.</t>
        </is>
      </c>
    </row>
    <row r="20"/>
    <row r="21" ht="16.5" customHeight="1">
      <c r="A21" s="162" t="inlineStr">
        <is>
          <t>4 Nilai: Nilai yang melekat, relatif stabil, dan jadi kompas etika &amp; perilaku</t>
        </is>
      </c>
    </row>
    <row r="22" ht="34.5" customFormat="1" customHeight="1" s="4">
      <c r="A22" s="3" t="inlineStr">
        <is>
          <t>Profesionalisme</t>
        </is>
      </c>
      <c r="B22" s="153" t="inlineStr">
        <is>
          <t>Memiliki kompetensi handal dan berkomitmen memberikan hasil terbaik.</t>
        </is>
      </c>
    </row>
    <row r="23" ht="34.5" customFormat="1" customHeight="1" s="4">
      <c r="A23" s="5" t="inlineStr">
        <is>
          <t>Integritas</t>
        </is>
      </c>
      <c r="B23" s="153" t="inlineStr">
        <is>
          <t>Berkomitmen untuk selalu konsisten antara pikiran, perkataan dan perbuatan yang dilandasi oleh katahati dan kepercayaan pada prinsipprinsip kebenaran yang hakiki.</t>
        </is>
      </c>
    </row>
    <row r="24" ht="34.5" customFormat="1" customHeight="1" s="4">
      <c r="A24" s="3" t="inlineStr">
        <is>
          <t>Orientasi Pelanggan</t>
        </is>
      </c>
      <c r="B24" s="153" t="inlineStr">
        <is>
          <t>Mengutamakan kepentingan pelanggan dengan dilandasi sikap saling menghargai dan hubungan kemitraan yang sinergis.</t>
        </is>
      </c>
    </row>
    <row r="25" ht="34.5" customFormat="1" customHeight="1" s="4">
      <c r="A25" s="5" t="inlineStr">
        <is>
          <t>Penyempurnaan Tiada Henti</t>
        </is>
      </c>
      <c r="B25" s="153" t="inlineStr">
        <is>
          <t>Senantiasa mencari peluang dan solusi untuk meningkatkan layanan dan kinerja yang melampaui harapan pelanggan.</t>
        </is>
      </c>
    </row>
    <row r="26"/>
    <row r="27" ht="26.25" customHeight="1">
      <c r="A27" s="162" t="inlineStr">
        <is>
          <t>6 Karsa: sebagai energi untuk mewujudkan nilai. bukan sekadar memahami nilai tetapi sebuah Tekad yang Menggerakkan Aksi</t>
        </is>
      </c>
    </row>
    <row r="28" ht="35.25" customHeight="1">
      <c r="A28" s="156" t="inlineStr">
        <is>
          <t>Karsa Satya</t>
        </is>
      </c>
      <c r="B28" s="163" t="inlineStr">
        <is>
          <t>Being Sensitive to Risk
Patuh pada peraturan, dapat dipercaya, peduli risiko dan berani mengungkapkan hal-hal yang tidak sesuai dengan peraturan</t>
        </is>
      </c>
    </row>
    <row r="29" ht="29.25" customHeight="1">
      <c r="A29" s="3" t="inlineStr">
        <is>
          <t>Karsa Daya</t>
        </is>
      </c>
      <c r="B29" s="162" t="inlineStr">
        <is>
          <t>Navigating Agility, Grit
Tidak mudah menyerah. tangguh, tekun, dan terus melangkah hingga tujuan tercapai.</t>
        </is>
      </c>
    </row>
    <row r="30" ht="54" customHeight="1">
      <c r="A30" s="3" t="inlineStr">
        <is>
          <t>Karsa Rasa</t>
        </is>
      </c>
      <c r="B30" s="162" t="inlineStr">
        <is>
          <t>Customer First, Building Partnership
Bekerja secara kolaboratif, berorientasi pada pencapaian solusi terbaik untuk kepentingan bank dan Proaktif memahami kebutuhan pelanggan serta dalam membangun hubungan baik dengan pelanggan maupun stakeholders lainnya.</t>
        </is>
      </c>
    </row>
    <row r="31" ht="48" customHeight="1">
      <c r="A31" s="3" t="inlineStr">
        <is>
          <t>Karsa Mahira</t>
        </is>
      </c>
      <c r="B31" s="162" t="inlineStr">
        <is>
          <t>Being Proactive, Relevant to Market
Memastikan hasil kerja memiliki standar tinggi dan Menerapkan proses kerja yang relevan, lincah, dan selaras dengan kebutuhan bisnis, guna menjawab ekspektasi pasar yang terus berkembang.</t>
        </is>
      </c>
    </row>
    <row r="32" ht="35.25" customHeight="1">
      <c r="A32" s="3" t="inlineStr">
        <is>
          <t>Karsa Tumbuh</t>
        </is>
      </c>
      <c r="B32" s="162" t="inlineStr">
        <is>
          <t>Growth Oriented
Terus menerus belajar, berinovasi, dan bertumbuh untuk menghadirkan solusi yang relevan dan adaptif terhadap dinamika pasar.</t>
        </is>
      </c>
    </row>
    <row r="33" ht="35.25" customHeight="1">
      <c r="A33" s="3" t="inlineStr">
        <is>
          <t>Karsa Jaya</t>
        </is>
      </c>
      <c r="B33" s="162" t="inlineStr">
        <is>
          <t>Excel in Execution
Unggul dalam eksekusi, bergerak untuk hasil, melangkah dengan arah yang jelas dan fokus pada hasil yang berdampak untuk memenangkan market share.</t>
        </is>
      </c>
    </row>
    <row r="34"/>
    <row r="35" ht="38.25" customHeight="1">
      <c r="A35" s="153" t="inlineStr">
        <is>
          <t>Hastabrata: Hasta artinya delapan dan Brata yaitu perilaku atau tindakan pengendalian diri. Konsep Hastabrata dalam kitab tersebut bahwa pemimpin kekaisaran bertindak sesuai dengan karakter para dewa. Hastabrata pun menjadi tolok ukur sebuah kepemimpinan di masa itu.</t>
        </is>
      </c>
    </row>
    <row r="36" ht="48" customFormat="1" customHeight="1" s="4">
      <c r="A36" s="3" t="inlineStr">
        <is>
          <t>Bumi</t>
        </is>
      </c>
      <c r="B36" s="153" t="inlineStr">
        <is>
          <t xml:space="preserve">Pemimpin memiliki sifat murah hati dan adil terhadap semua pengikutnya. Pemimpin bersikap adil dengan memberikan penghargaan bagi para bawahan yang berprestasi tanpa membedakan statusnya. </t>
        </is>
      </c>
    </row>
    <row r="37" ht="48" customFormat="1" customHeight="1" s="4">
      <c r="A37" s="3" t="inlineStr">
        <is>
          <t>Matahari</t>
        </is>
      </c>
      <c r="B37" s="153" t="inlineStr">
        <is>
          <t xml:space="preserve">Pemimpin memiliki sifat berhati-hati dalam membimbing bawahannya. Pemimpin mampu memberikan dorongan energi kepada para bawahan secara perlahan, yang tanpa disadari akan membimbing bawahan menjalankan tujuan bersama. </t>
        </is>
      </c>
    </row>
    <row r="38" ht="48" customFormat="1" customHeight="1" s="4">
      <c r="A38" s="3" t="inlineStr">
        <is>
          <t>Api</t>
        </is>
      </c>
      <c r="B38" s="153" t="inlineStr">
        <is>
          <t xml:space="preserve">Pemimpin memiliki sifat tegas dalam memerintah, terutama saat memberikan hukuman pada bawahan yang melakukan kesalahan. Pemimpin harus berani mengambil keputusan untuk menghukum bahkan mengeluarkan bawahan yang bersalah dalam kelompok. </t>
        </is>
      </c>
    </row>
    <row r="39" ht="48" customFormat="1" customHeight="1" s="4">
      <c r="A39" s="3" t="inlineStr">
        <is>
          <t>Samudra</t>
        </is>
      </c>
      <c r="B39" s="153" t="inlineStr">
        <is>
          <t xml:space="preserve">Pemimpin memiliki sikap terbuka dan mampu menampung aspirasi dari para bawahannya. Pemimpin hendaknya bersikap bijak dalam menyikapi setiap kritik dari bawahan. </t>
        </is>
      </c>
    </row>
    <row r="40" ht="48" customFormat="1" customHeight="1" s="4">
      <c r="A40" s="3" t="inlineStr">
        <is>
          <t>Langit</t>
        </is>
      </c>
      <c r="B40" s="153" t="inlineStr">
        <is>
          <t xml:space="preserve">Pemimpin memiliki sifat mampu memberi nilai tambah keilmuan kepada para bawahannya. Pemimpin harus memiliki bekal keluasan pengetahuan atau kompetensi yang dapat diajarkan kepada para bawahan </t>
        </is>
      </c>
    </row>
    <row r="41" ht="48" customFormat="1" customHeight="1" s="4">
      <c r="A41" s="3" t="inlineStr">
        <is>
          <t>Angin</t>
        </is>
      </c>
      <c r="B41" s="153" t="inlineStr">
        <is>
          <t xml:space="preserve">Pemimpin memiliki sifat teliti ketika turun langsung memperhatikan atau mengawasi kinerja semua bawahan. Pemimpin harus berada dekat dengan bawahan tanpa membedakan statusnya. </t>
        </is>
      </c>
    </row>
    <row r="42" ht="48" customFormat="1" customHeight="1" s="4">
      <c r="A42" s="3" t="inlineStr">
        <is>
          <t>Bulan</t>
        </is>
      </c>
      <c r="B42" s="153" t="inlineStr">
        <is>
          <t xml:space="preserve">Pemimpin memiliki sifat periang yang mampu menyenangkan hati para bawahannya. Pemimpin mampu memberikan motivasi kepada para bawahan agar performa kinerjanya meningkat. </t>
        </is>
      </c>
    </row>
    <row r="43" ht="48" customFormat="1" customHeight="1" s="4">
      <c r="A43" s="3" t="inlineStr">
        <is>
          <t>Bintang</t>
        </is>
      </c>
      <c r="B43" s="153" t="inlineStr">
        <is>
          <t xml:space="preserve">Pemimpin memiliki sifat percaya diri dalam memegang teguh prinsip yang diyakininya. Prinsip kuat yang dimiliki pemimpin adalah pedoman bawahan dalam bekerjasama mencapai tujuan. </t>
        </is>
      </c>
    </row>
  </sheetData>
  <mergeCells count="33">
    <mergeCell ref="B42:D42"/>
    <mergeCell ref="A9:A14"/>
    <mergeCell ref="B23:D23"/>
    <mergeCell ref="A35:D35"/>
    <mergeCell ref="B3:B4"/>
    <mergeCell ref="B17:D17"/>
    <mergeCell ref="B29:D29"/>
    <mergeCell ref="B38:D38"/>
    <mergeCell ref="B28:D28"/>
    <mergeCell ref="B19:D19"/>
    <mergeCell ref="B37:D37"/>
    <mergeCell ref="A3:A4"/>
    <mergeCell ref="B40:D40"/>
    <mergeCell ref="D3:D4"/>
    <mergeCell ref="B30:D30"/>
    <mergeCell ref="B24:D24"/>
    <mergeCell ref="B33:D33"/>
    <mergeCell ref="B36:D36"/>
    <mergeCell ref="B41:D41"/>
    <mergeCell ref="B32:D32"/>
    <mergeCell ref="A16:D16"/>
    <mergeCell ref="A5:A8"/>
    <mergeCell ref="B25:D25"/>
    <mergeCell ref="D5:D8"/>
    <mergeCell ref="A27:D27"/>
    <mergeCell ref="D9:D14"/>
    <mergeCell ref="B31:D31"/>
    <mergeCell ref="B22:D22"/>
    <mergeCell ref="C3:C4"/>
    <mergeCell ref="A21:D21"/>
    <mergeCell ref="B18:D18"/>
    <mergeCell ref="B43:D43"/>
    <mergeCell ref="B39:D39"/>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13"/>
  <sheetViews>
    <sheetView zoomScaleNormal="100" workbookViewId="0">
      <selection activeCell="E8" sqref="E8"/>
    </sheetView>
  </sheetViews>
  <sheetFormatPr baseColWidth="8" defaultColWidth="9.140625" defaultRowHeight="15.75" customHeight="1"/>
  <cols>
    <col width="5.85546875" customWidth="1" style="6" min="1" max="1"/>
    <col width="36.42578125" customWidth="1" style="7" min="2" max="2"/>
    <col width="9.140625" customWidth="1" style="8" min="3" max="3"/>
    <col width="19.85546875" customWidth="1" style="6" min="4" max="13"/>
    <col width="9.140625" customWidth="1" style="7" min="14" max="16384"/>
  </cols>
  <sheetData>
    <row r="1" ht="15.75" customHeight="1">
      <c r="A1" s="167" t="inlineStr">
        <is>
          <t>No</t>
        </is>
      </c>
      <c r="B1" s="167" t="inlineStr">
        <is>
          <t>Activity</t>
        </is>
      </c>
      <c r="C1" s="167" t="inlineStr">
        <is>
          <t>Count</t>
        </is>
      </c>
      <c r="D1" s="164" t="inlineStr">
        <is>
          <t>SEVA</t>
        </is>
      </c>
      <c r="E1" s="196" t="n"/>
      <c r="F1" s="164" t="inlineStr">
        <is>
          <t>KARYA</t>
        </is>
      </c>
      <c r="G1" s="197" t="n"/>
      <c r="H1" s="197" t="n"/>
      <c r="I1" s="197" t="n"/>
      <c r="J1" s="197" t="n"/>
      <c r="K1" s="196" t="n"/>
      <c r="L1" s="164" t="inlineStr">
        <is>
          <t>RAKSA</t>
        </is>
      </c>
      <c r="M1" s="196" t="n"/>
    </row>
    <row r="2" ht="15.75" customHeight="1">
      <c r="A2" s="198" t="n"/>
      <c r="B2" s="198" t="n"/>
      <c r="C2" s="198" t="n"/>
      <c r="D2" s="9" t="inlineStr">
        <is>
          <t>Potential</t>
        </is>
      </c>
      <c r="E2" s="10" t="inlineStr">
        <is>
          <t>Behavior/Assignment</t>
        </is>
      </c>
      <c r="F2" s="165" t="inlineStr">
        <is>
          <t>Potential</t>
        </is>
      </c>
      <c r="G2" s="196" t="n"/>
      <c r="H2" s="166" t="inlineStr">
        <is>
          <t>Behavior/Assignment</t>
        </is>
      </c>
      <c r="I2" s="197" t="n"/>
      <c r="J2" s="197" t="n"/>
      <c r="K2" s="196" t="n"/>
      <c r="L2" s="9" t="inlineStr">
        <is>
          <t>Potential</t>
        </is>
      </c>
      <c r="M2" s="10" t="inlineStr">
        <is>
          <t>Behavior/Assignment</t>
        </is>
      </c>
    </row>
    <row r="3" ht="29.25" customFormat="1" customHeight="1" s="13">
      <c r="A3" s="198" t="n"/>
      <c r="B3" s="198" t="n"/>
      <c r="C3" s="198" t="n"/>
      <c r="D3" s="11" t="inlineStr">
        <is>
          <t>Orientasi Pelanggan</t>
        </is>
      </c>
      <c r="E3" s="12" t="inlineStr">
        <is>
          <t>Karsa Rasa
Customer First | Building Partnership</t>
        </is>
      </c>
      <c r="F3" s="11" t="inlineStr">
        <is>
          <t>Profesionalisme</t>
        </is>
      </c>
      <c r="G3" s="11" t="inlineStr">
        <is>
          <t>Penyempurnaan Tiada Henti</t>
        </is>
      </c>
      <c r="H3" s="12" t="inlineStr">
        <is>
          <t>Karsa Daya
Navigating Agility</t>
        </is>
      </c>
      <c r="I3" s="12" t="inlineStr">
        <is>
          <t>Karsa Mahira
Being Proactive | Relevant to Market</t>
        </is>
      </c>
      <c r="J3" s="12" t="inlineStr">
        <is>
          <t>Karsa Tumbuh
Growth Oriented</t>
        </is>
      </c>
      <c r="K3" s="12" t="inlineStr">
        <is>
          <t>Karsa Jaya
Excel in Execution</t>
        </is>
      </c>
      <c r="L3" s="11" t="inlineStr">
        <is>
          <t>Integritas</t>
        </is>
      </c>
      <c r="M3" s="12" t="inlineStr">
        <is>
          <t>Karsa Satya
Being Sensitive to Risk</t>
        </is>
      </c>
    </row>
    <row r="4" ht="39" customHeight="1">
      <c r="A4" s="199" t="n"/>
      <c r="B4" s="199" t="n"/>
      <c r="C4" s="199" t="n"/>
      <c r="D4" s="14" t="inlineStr">
        <is>
          <t>Mengutamakan kepentingan pelanggan dengan membangun sikap saling menghargai dan hubungan kemitraan yang sinergis.</t>
        </is>
      </c>
      <c r="E4" s="15" t="inlineStr">
        <is>
          <t>Bekerja secara kolaboratif, berorientasi pada pencapaian solusi terbaik untuk kepentingan bank, serta proaktif memahami kebutuhan pelanggan dan membangun hubungan yang baik dengan pelanggan maupun stakeholder lainnya.</t>
        </is>
      </c>
      <c r="F4" s="14" t="inlineStr">
        <is>
          <t>Memiliki kompetensi yang andal dan berkomitmen untuk memberikan hasil terbaik.</t>
        </is>
      </c>
      <c r="G4" s="14" t="inlineStr">
        <is>
          <t>Senantiasa mencari peluang dan solusi untuk meningkatkan layanan serta kinerja yang melampaui harapan pelanggan.</t>
        </is>
      </c>
      <c r="H4" s="15" t="inlineStr">
        <is>
          <t>Tidak mudah menyerah, tangguh, tekun, dan terus melangkah hingga tujuan tercapai.</t>
        </is>
      </c>
      <c r="I4" s="15" t="inlineStr">
        <is>
          <t>Memastikan hasil kerja memiliki standar tinggi, menerapkan proses kerja yang relevan, lincah, dan selaras dengan kebutuhan bisnis untuk menjawab ekspektasi pasar yang terus berkembang.</t>
        </is>
      </c>
      <c r="J4" s="15" t="inlineStr">
        <is>
          <t>Terus belajar, berinovasi, dan bertumbuh untuk menghadirkan solusi yang relevan serta adaptif terhadap dinamika pasar.</t>
        </is>
      </c>
      <c r="K4" s="15" t="inlineStr">
        <is>
          <t>Unggul dalam eksekusi, bergerak untuk menghasilkan dampak, melangkah dengan arah yang jelas, dan berfokus pada hasil yang berkontribusi terhadap peningkatan market share.</t>
        </is>
      </c>
      <c r="L4" s="14" t="inlineStr">
        <is>
          <t>Menjaga keselarasan antara pikiran, perkataan, dan perbuatan, serta berlandaskan pada kata hati, kepercayaan, dan prinsip kebenaran.</t>
        </is>
      </c>
      <c r="M4" s="15" t="inlineStr">
        <is>
          <t>Patuh terhadap peraturan, dapat dipercaya, peduli terhadap risiko, serta berani menyampaikan hal-hal yang tidak sesuai dengan ketentuan.</t>
        </is>
      </c>
    </row>
    <row r="5" ht="15.75" customHeight="1">
      <c r="A5" s="16" t="n">
        <v>1</v>
      </c>
      <c r="B5" s="17" t="inlineStr">
        <is>
          <t>Psychometric Assessment</t>
        </is>
      </c>
      <c r="C5" s="18" t="n">
        <v>4</v>
      </c>
      <c r="D5" s="19" t="n">
        <v>1</v>
      </c>
      <c r="E5" s="20" t="inlineStr">
        <is>
          <t xml:space="preserve"> </t>
        </is>
      </c>
      <c r="F5" s="21" t="n">
        <v>1</v>
      </c>
      <c r="G5" s="21" t="n">
        <v>1</v>
      </c>
      <c r="H5" s="20" t="inlineStr">
        <is>
          <t xml:space="preserve"> </t>
        </is>
      </c>
      <c r="I5" s="20" t="inlineStr">
        <is>
          <t xml:space="preserve"> </t>
        </is>
      </c>
      <c r="J5" s="20" t="inlineStr">
        <is>
          <t xml:space="preserve"> </t>
        </is>
      </c>
      <c r="K5" s="20" t="inlineStr">
        <is>
          <t xml:space="preserve"> </t>
        </is>
      </c>
      <c r="L5" s="21" t="n">
        <v>1</v>
      </c>
      <c r="M5" s="20" t="inlineStr">
        <is>
          <t xml:space="preserve"> </t>
        </is>
      </c>
    </row>
    <row r="6" ht="15.75" customHeight="1">
      <c r="A6" s="22" t="n">
        <v>2</v>
      </c>
      <c r="B6" s="23" t="inlineStr">
        <is>
          <t>Black Box: Decoding of a Human Life</t>
        </is>
      </c>
      <c r="C6" s="24" t="n">
        <v>6</v>
      </c>
      <c r="D6" s="16" t="inlineStr">
        <is>
          <t xml:space="preserve"> </t>
        </is>
      </c>
      <c r="E6" s="25" t="n">
        <v>0.5</v>
      </c>
      <c r="F6" s="26" t="inlineStr">
        <is>
          <t xml:space="preserve"> </t>
        </is>
      </c>
      <c r="G6" s="26" t="inlineStr">
        <is>
          <t xml:space="preserve"> </t>
        </is>
      </c>
      <c r="H6" s="25" t="n">
        <v>0.05</v>
      </c>
      <c r="I6" s="25" t="n">
        <v>0.4</v>
      </c>
      <c r="J6" s="25" t="n">
        <v>0.3</v>
      </c>
      <c r="K6" s="25" t="n">
        <v>0.4</v>
      </c>
      <c r="L6" s="26" t="inlineStr">
        <is>
          <t xml:space="preserve"> </t>
        </is>
      </c>
      <c r="M6" s="27" t="n">
        <v>0.075</v>
      </c>
    </row>
    <row r="7" ht="15.75" customHeight="1">
      <c r="A7" s="16" t="n">
        <v>3</v>
      </c>
      <c r="B7" s="23" t="inlineStr">
        <is>
          <t>Solo Transmission: The Ascendant’s Stand</t>
        </is>
      </c>
      <c r="C7" s="24" t="n">
        <v>5</v>
      </c>
      <c r="D7" s="16" t="inlineStr">
        <is>
          <t xml:space="preserve"> </t>
        </is>
      </c>
      <c r="E7" s="25" t="n">
        <v>0.4</v>
      </c>
      <c r="F7" s="26" t="inlineStr">
        <is>
          <t xml:space="preserve"> </t>
        </is>
      </c>
      <c r="G7" s="26" t="inlineStr">
        <is>
          <t xml:space="preserve"> </t>
        </is>
      </c>
      <c r="H7" s="25" t="n">
        <v>0.05</v>
      </c>
      <c r="I7" s="25" t="n">
        <v>0.1</v>
      </c>
      <c r="J7" s="26" t="inlineStr">
        <is>
          <t xml:space="preserve"> </t>
        </is>
      </c>
      <c r="K7" s="25" t="n">
        <v>0.1</v>
      </c>
      <c r="L7" s="26" t="inlineStr">
        <is>
          <t xml:space="preserve"> </t>
        </is>
      </c>
      <c r="M7" s="27" t="n">
        <v>0.075</v>
      </c>
    </row>
    <row r="8" ht="15.75" customHeight="1">
      <c r="A8" s="22" t="n">
        <v>4</v>
      </c>
      <c r="B8" s="23" t="inlineStr">
        <is>
          <t>Operation: the organization Protect</t>
        </is>
      </c>
      <c r="C8" s="24" t="n">
        <v>4</v>
      </c>
      <c r="D8" s="16" t="inlineStr">
        <is>
          <t xml:space="preserve"> </t>
        </is>
      </c>
      <c r="E8" s="25" t="n">
        <v>0.1</v>
      </c>
      <c r="F8" s="26" t="inlineStr">
        <is>
          <t xml:space="preserve"> </t>
        </is>
      </c>
      <c r="G8" s="26" t="inlineStr">
        <is>
          <t xml:space="preserve"> </t>
        </is>
      </c>
      <c r="H8" s="25" t="n">
        <v>0.05</v>
      </c>
      <c r="I8" s="25" t="n">
        <v>0.1</v>
      </c>
      <c r="J8" s="26" t="inlineStr">
        <is>
          <t xml:space="preserve"> </t>
        </is>
      </c>
      <c r="K8" s="26" t="inlineStr">
        <is>
          <t xml:space="preserve"> </t>
        </is>
      </c>
      <c r="L8" s="26" t="inlineStr">
        <is>
          <t xml:space="preserve"> </t>
        </is>
      </c>
      <c r="M8" s="25" t="n">
        <v>0.7</v>
      </c>
    </row>
    <row r="9" ht="15.75" customHeight="1">
      <c r="A9" s="16" t="n">
        <v>5</v>
      </c>
      <c r="B9" s="17" t="inlineStr">
        <is>
          <t>Dominion: Conquest of the Elements</t>
        </is>
      </c>
      <c r="C9" s="18" t="n">
        <v>4</v>
      </c>
      <c r="D9" s="16" t="inlineStr">
        <is>
          <t xml:space="preserve"> </t>
        </is>
      </c>
      <c r="E9" s="26" t="inlineStr">
        <is>
          <t xml:space="preserve"> </t>
        </is>
      </c>
      <c r="F9" s="26" t="inlineStr">
        <is>
          <t xml:space="preserve"> </t>
        </is>
      </c>
      <c r="G9" s="26" t="inlineStr">
        <is>
          <t xml:space="preserve"> </t>
        </is>
      </c>
      <c r="H9" s="25" t="n">
        <v>0.35</v>
      </c>
      <c r="I9" s="25" t="n">
        <v>0.3</v>
      </c>
      <c r="J9" s="25" t="n">
        <v>0.4</v>
      </c>
      <c r="K9" s="25" t="n">
        <v>0.4</v>
      </c>
      <c r="L9" s="26" t="inlineStr">
        <is>
          <t xml:space="preserve"> </t>
        </is>
      </c>
      <c r="M9" s="26" t="inlineStr">
        <is>
          <t xml:space="preserve"> </t>
        </is>
      </c>
    </row>
    <row r="10" ht="15.75" customHeight="1">
      <c r="A10" s="16" t="n">
        <v>6</v>
      </c>
      <c r="B10" s="17" t="inlineStr">
        <is>
          <t>XXX: Speed Coaching</t>
        </is>
      </c>
      <c r="C10" s="18" t="n"/>
      <c r="D10" s="16" t="n"/>
      <c r="E10" s="26" t="n"/>
      <c r="F10" s="26" t="n"/>
      <c r="G10" s="26" t="n"/>
      <c r="H10" s="25" t="n">
        <v>0.3</v>
      </c>
      <c r="I10" s="25" t="n"/>
      <c r="J10" s="25" t="n">
        <v>0.2</v>
      </c>
      <c r="K10" s="25" t="n"/>
      <c r="L10" s="26" t="n"/>
      <c r="M10" s="26" t="n"/>
    </row>
    <row r="11" ht="15.75" customHeight="1">
      <c r="A11" s="22" t="n">
        <v>7</v>
      </c>
      <c r="B11" s="17" t="inlineStr">
        <is>
          <t>The Final Broadcast</t>
        </is>
      </c>
      <c r="C11" s="18" t="n">
        <v>5</v>
      </c>
      <c r="D11" s="16" t="inlineStr">
        <is>
          <t xml:space="preserve"> </t>
        </is>
      </c>
      <c r="E11" s="26" t="inlineStr">
        <is>
          <t xml:space="preserve"> </t>
        </is>
      </c>
      <c r="F11" s="26" t="inlineStr">
        <is>
          <t xml:space="preserve"> </t>
        </is>
      </c>
      <c r="G11" s="26" t="inlineStr">
        <is>
          <t xml:space="preserve"> </t>
        </is>
      </c>
      <c r="H11" s="25" t="n">
        <v>0.2</v>
      </c>
      <c r="I11" s="25" t="n">
        <v>0.1</v>
      </c>
      <c r="J11" s="25" t="n">
        <v>0.1</v>
      </c>
      <c r="K11" s="25" t="n">
        <v>0.1</v>
      </c>
      <c r="L11" s="26" t="inlineStr">
        <is>
          <t xml:space="preserve"> </t>
        </is>
      </c>
      <c r="M11" s="27" t="n">
        <v>0.075</v>
      </c>
    </row>
    <row r="12" ht="15.75" customHeight="1">
      <c r="A12" s="16" t="n">
        <v>8</v>
      </c>
      <c r="B12" s="17" t="inlineStr">
        <is>
          <t>Anecdotal Observation</t>
        </is>
      </c>
      <c r="C12" s="18" t="n">
        <v>1</v>
      </c>
      <c r="D12" s="16" t="inlineStr">
        <is>
          <t xml:space="preserve"> </t>
        </is>
      </c>
      <c r="E12" s="26" t="inlineStr">
        <is>
          <t xml:space="preserve"> </t>
        </is>
      </c>
      <c r="F12" s="26" t="inlineStr">
        <is>
          <t xml:space="preserve"> </t>
        </is>
      </c>
      <c r="G12" s="26" t="inlineStr">
        <is>
          <t xml:space="preserve"> </t>
        </is>
      </c>
      <c r="H12" s="26" t="inlineStr">
        <is>
          <t xml:space="preserve"> </t>
        </is>
      </c>
      <c r="I12" s="26" t="inlineStr">
        <is>
          <t xml:space="preserve"> </t>
        </is>
      </c>
      <c r="J12" s="26" t="inlineStr">
        <is>
          <t xml:space="preserve"> </t>
        </is>
      </c>
      <c r="K12" s="26" t="inlineStr">
        <is>
          <t xml:space="preserve"> </t>
        </is>
      </c>
      <c r="L12" s="26" t="inlineStr">
        <is>
          <t xml:space="preserve"> </t>
        </is>
      </c>
      <c r="M12" s="27" t="n">
        <v>0.075</v>
      </c>
    </row>
    <row r="13" ht="15.75" customHeight="1">
      <c r="A13" s="16" t="inlineStr">
        <is>
          <t xml:space="preserve"> </t>
        </is>
      </c>
      <c r="B13" s="159" t="n"/>
      <c r="C13" s="28" t="n"/>
      <c r="D13" s="29">
        <f>SUM(D5:D12)</f>
        <v/>
      </c>
      <c r="E13" s="29">
        <f>SUM(E5:E12)</f>
        <v/>
      </c>
      <c r="F13" s="29">
        <f>SUM(F5:F12)</f>
        <v/>
      </c>
      <c r="G13" s="29">
        <f>SUM(G5:G12)</f>
        <v/>
      </c>
      <c r="H13" s="29">
        <f>SUM(H5:H12)</f>
        <v/>
      </c>
      <c r="I13" s="29">
        <f>SUM(I5:I12)</f>
        <v/>
      </c>
      <c r="J13" s="29">
        <f>SUM(J5:J12)</f>
        <v/>
      </c>
      <c r="K13" s="29">
        <f>SUM(K5:K12)</f>
        <v/>
      </c>
      <c r="L13" s="29">
        <f>SUM(L5:L12)</f>
        <v/>
      </c>
      <c r="M13" s="29">
        <f>SUM(M5:M12)</f>
        <v/>
      </c>
    </row>
  </sheetData>
  <mergeCells count="8">
    <mergeCell ref="F2:G2"/>
    <mergeCell ref="D1:E1"/>
    <mergeCell ref="L1:M1"/>
    <mergeCell ref="H2:K2"/>
    <mergeCell ref="F1:K1"/>
    <mergeCell ref="A1:A4"/>
    <mergeCell ref="C1:C4"/>
    <mergeCell ref="B1:B4"/>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30"/>
  <sheetViews>
    <sheetView topLeftCell="A13" zoomScale="90" zoomScaleNormal="90" workbookViewId="0">
      <selection activeCell="B9" sqref="B9"/>
    </sheetView>
  </sheetViews>
  <sheetFormatPr baseColWidth="8" defaultColWidth="8.85546875" defaultRowHeight="16.5" customHeight="1"/>
  <cols>
    <col width="4.42578125" customWidth="1" style="30" min="1" max="1"/>
    <col width="51" customWidth="1" style="4" min="2" max="2"/>
    <col width="16.7109375" customWidth="1" style="4" min="3" max="3"/>
    <col width="18.42578125" customWidth="1" style="30" min="4" max="4"/>
    <col width="14.7109375" customWidth="1" style="30" min="5" max="5"/>
    <col width="8.85546875" customWidth="1" style="4" min="6" max="16384"/>
  </cols>
  <sheetData>
    <row r="1" ht="16.5" customHeight="1">
      <c r="A1" s="31" t="inlineStr">
        <is>
          <t>List All Assessment</t>
        </is>
      </c>
    </row>
    <row r="2"/>
    <row r="3" ht="16.5" customHeight="1">
      <c r="A3" s="31" t="inlineStr">
        <is>
          <t>Pre-Event</t>
        </is>
      </c>
    </row>
    <row r="4" ht="16.5" customHeight="1">
      <c r="A4" s="2" t="inlineStr">
        <is>
          <t>No</t>
        </is>
      </c>
      <c r="B4" s="2" t="inlineStr">
        <is>
          <t>Jenis Asesmen</t>
        </is>
      </c>
      <c r="C4" s="2" t="inlineStr">
        <is>
          <t>Metode</t>
        </is>
      </c>
      <c r="D4" s="2" t="inlineStr">
        <is>
          <t>PIC</t>
        </is>
      </c>
      <c r="E4" s="2" t="inlineStr">
        <is>
          <t>Kompetensi</t>
        </is>
      </c>
    </row>
    <row r="5" ht="16.5" customHeight="1">
      <c r="A5" s="30" t="n">
        <v>1</v>
      </c>
      <c r="B5" s="4" t="inlineStr">
        <is>
          <t>Konstruk Hasta Brata (likert &amp; rank)</t>
        </is>
      </c>
      <c r="C5" s="4" t="inlineStr">
        <is>
          <t>Google Form</t>
        </is>
      </c>
      <c r="D5" s="30" t="inlineStr">
        <is>
          <t>[redacted]</t>
        </is>
      </c>
      <c r="E5" s="30" t="inlineStr">
        <is>
          <t>Hasta Brata</t>
        </is>
      </c>
    </row>
    <row r="6"/>
    <row r="7" ht="16.5" customHeight="1">
      <c r="A7" s="32" t="inlineStr">
        <is>
          <t>Day 1</t>
        </is>
      </c>
      <c r="B7" s="2" t="inlineStr">
        <is>
          <t>Jenis Asesmen</t>
        </is>
      </c>
      <c r="C7" s="2" t="inlineStr">
        <is>
          <t>Metode</t>
        </is>
      </c>
    </row>
    <row r="8" ht="16.5" customHeight="1">
      <c r="A8" s="30" t="n">
        <v>1</v>
      </c>
      <c r="B8" s="4" t="inlineStr">
        <is>
          <t>Launchpad: The Beginning of Everything</t>
        </is>
      </c>
      <c r="C8" s="4" t="inlineStr">
        <is>
          <t>Observasi</t>
        </is>
      </c>
      <c r="E8" s="30" t="inlineStr">
        <is>
          <t>Satya, Daya</t>
        </is>
      </c>
    </row>
    <row r="9" ht="16.5" customHeight="1">
      <c r="A9" s="30" t="n">
        <v>2</v>
      </c>
      <c r="B9" s="4" t="inlineStr">
        <is>
          <t>The Signal: Voices from the Field</t>
        </is>
      </c>
      <c r="C9" s="4" t="inlineStr">
        <is>
          <t>Observasi</t>
        </is>
      </c>
      <c r="E9" s="30" t="inlineStr">
        <is>
          <t>Satya, Daya</t>
        </is>
      </c>
    </row>
    <row r="10" ht="16.5" customHeight="1">
      <c r="A10" s="30" t="n">
        <v>3</v>
      </c>
      <c r="B10" s="4" t="inlineStr">
        <is>
          <t>Mission: Signal Decoding</t>
        </is>
      </c>
      <c r="C10" s="4" t="inlineStr">
        <is>
          <t>Observasi</t>
        </is>
      </c>
      <c r="E10" s="30" t="inlineStr">
        <is>
          <t>Daya, Rasa</t>
        </is>
      </c>
    </row>
    <row r="11" ht="96" customHeight="1">
      <c r="A11" s="30" t="n">
        <v>4</v>
      </c>
      <c r="B11" s="152" t="inlineStr">
        <is>
          <t>Black Box: Decoding of a Human Life (1)</t>
        </is>
      </c>
      <c r="C11" s="153" t="inlineStr">
        <is>
          <t>Observasi</t>
        </is>
      </c>
      <c r="D11" s="152" t="n"/>
      <c r="E11" s="153" t="inlineStr">
        <is>
          <t>Main
Karsa Rasa
Karsa Mahira
Karsa Tumbuh
Karsa Jaya
Minor: 
Karsa Daya
Karsa Satya</t>
        </is>
      </c>
    </row>
    <row r="12" ht="30.75" customHeight="1">
      <c r="A12" s="30" t="n">
        <v>5</v>
      </c>
      <c r="B12" s="152" t="inlineStr">
        <is>
          <t>Black Box: Decoding of a Human Life (2)</t>
        </is>
      </c>
      <c r="C12" s="153" t="inlineStr">
        <is>
          <t>Panel Presentation
Peer Assessment</t>
        </is>
      </c>
      <c r="D12" s="152" t="n"/>
    </row>
    <row r="13" ht="72" customHeight="1">
      <c r="A13" s="30" t="n">
        <v>6</v>
      </c>
      <c r="B13" s="4" t="inlineStr">
        <is>
          <t>Solo Transmission: The Ascendant’s Stand</t>
        </is>
      </c>
      <c r="C13" s="4" t="inlineStr">
        <is>
          <t>Assignment Evaluation</t>
        </is>
      </c>
      <c r="E13" s="153" t="inlineStr">
        <is>
          <t>Main:
Karsa Rasa
Minor:
Karsa Daya
Karsa Mahira
Karsa Jaya</t>
        </is>
      </c>
    </row>
    <row r="14" ht="12" customHeight="1">
      <c r="A14" s="30" t="n">
        <v>7</v>
      </c>
      <c r="B14" s="4" t="inlineStr">
        <is>
          <t>Recap Day 1</t>
        </is>
      </c>
      <c r="E14" s="153" t="n"/>
    </row>
    <row r="15"/>
    <row r="16" ht="16.5" customHeight="1">
      <c r="A16" s="32" t="inlineStr">
        <is>
          <t>Day 2</t>
        </is>
      </c>
      <c r="B16" s="2" t="inlineStr">
        <is>
          <t>Jenis Asesmen</t>
        </is>
      </c>
      <c r="C16" s="2" t="inlineStr">
        <is>
          <t>Metode</t>
        </is>
      </c>
    </row>
    <row r="17" ht="12" customHeight="1">
      <c r="A17" s="30" t="n">
        <v>1</v>
      </c>
      <c r="B17" s="4" t="inlineStr">
        <is>
          <t>Online Psychometry Assessment</t>
        </is>
      </c>
      <c r="C17" s="4" t="inlineStr">
        <is>
          <t>Individual Assignment</t>
        </is>
      </c>
      <c r="D17" s="33" t="inlineStr">
        <is>
          <t>[redacted] &amp; Pulsifi</t>
        </is>
      </c>
    </row>
    <row r="18" ht="72" customHeight="1">
      <c r="A18" s="30" t="n">
        <v>2</v>
      </c>
      <c r="B18" s="4" t="inlineStr">
        <is>
          <t>Operation: the organization Protect</t>
        </is>
      </c>
      <c r="C18" s="34" t="inlineStr">
        <is>
          <t>Observasi
Assignment Evaluation</t>
        </is>
      </c>
      <c r="E18" s="153" t="inlineStr">
        <is>
          <t>Main: 
Karsa Satya
Minor: 
Karsa Daya
Karsa Mahira
Karsa Rasa</t>
        </is>
      </c>
    </row>
    <row r="19" ht="16.5" customHeight="1">
      <c r="A19" s="30" t="n">
        <v>3</v>
      </c>
      <c r="B19" s="4" t="inlineStr">
        <is>
          <t>Transmission: The Guardian’s Intel</t>
        </is>
      </c>
      <c r="C19" s="4" t="inlineStr">
        <is>
          <t>Observasi</t>
        </is>
      </c>
      <c r="E19" s="30" t="inlineStr">
        <is>
          <t>Satya, Daya</t>
        </is>
      </c>
    </row>
    <row r="20" ht="16.5" customHeight="1">
      <c r="A20" s="30" t="n">
        <v>4</v>
      </c>
      <c r="B20" s="4" t="inlineStr">
        <is>
          <t>Mission: Ghost Protocol</t>
        </is>
      </c>
      <c r="C20" s="4" t="inlineStr">
        <is>
          <t>Observasi</t>
        </is>
      </c>
      <c r="E20" s="30" t="inlineStr">
        <is>
          <t>Daya, Rasa</t>
        </is>
      </c>
    </row>
    <row r="21" ht="12" customHeight="1">
      <c r="A21" s="30" t="n">
        <v>5</v>
      </c>
      <c r="B21" s="4" t="inlineStr">
        <is>
          <t>Final Broadcast (Preparation)</t>
        </is>
      </c>
      <c r="C21" s="4" t="inlineStr">
        <is>
          <t>Observasi</t>
        </is>
      </c>
      <c r="E21" s="30" t="inlineStr">
        <is>
          <t>Daya, Rasa</t>
        </is>
      </c>
    </row>
    <row r="22" ht="12" customHeight="1">
      <c r="A22" s="30" t="n">
        <v>6</v>
      </c>
      <c r="B22" s="4" t="inlineStr">
        <is>
          <t>Recap Day 2</t>
        </is>
      </c>
      <c r="E22" s="35" t="n"/>
    </row>
    <row r="23"/>
    <row r="24" ht="16.5" customHeight="1">
      <c r="A24" s="32" t="inlineStr">
        <is>
          <t>Day 3</t>
        </is>
      </c>
      <c r="B24" s="2" t="inlineStr">
        <is>
          <t>Jenis Asesmen</t>
        </is>
      </c>
      <c r="C24" s="2" t="inlineStr">
        <is>
          <t>Metode</t>
        </is>
      </c>
    </row>
    <row r="25" ht="66.75" customHeight="1">
      <c r="A25" s="30" t="n">
        <v>1</v>
      </c>
      <c r="B25" s="4" t="inlineStr">
        <is>
          <t>Ignition: The Call to Perform</t>
        </is>
      </c>
      <c r="C25" s="4" t="inlineStr">
        <is>
          <t>Observasi</t>
        </is>
      </c>
      <c r="E25" s="153" t="inlineStr">
        <is>
          <t>Karsa Daya
Karsa Tumbuh
Karsa Mahira
Karsa Jaya</t>
        </is>
      </c>
    </row>
    <row r="26" ht="79.5" customHeight="1">
      <c r="A26" s="30" t="n">
        <v>2</v>
      </c>
      <c r="B26" s="4" t="inlineStr">
        <is>
          <t>XXX: Speed Coaching</t>
        </is>
      </c>
      <c r="C26" s="34" t="inlineStr">
        <is>
          <t>Individual Assignment
*Google Form Reflection</t>
        </is>
      </c>
      <c r="D26" s="30" t="inlineStr">
        <is>
          <t>[redacted]</t>
        </is>
      </c>
      <c r="E26" s="153" t="inlineStr">
        <is>
          <t>Karsa Tumbuh
Karsa Jaya</t>
        </is>
      </c>
    </row>
    <row r="27" ht="72" customHeight="1">
      <c r="A27" s="30" t="n">
        <v>3</v>
      </c>
      <c r="B27" s="4" t="inlineStr">
        <is>
          <t>Dominion: Conquest of the Elements</t>
        </is>
      </c>
      <c r="C27" s="4" t="inlineStr">
        <is>
          <t>Observasi</t>
        </is>
      </c>
      <c r="E27" s="153" t="inlineStr">
        <is>
          <t>Main: 
Karsa Daya
Karsa Tumbuh
Karsa Mahira
Minor: 
Karsa Jaya</t>
        </is>
      </c>
    </row>
    <row r="28" ht="16.5" customHeight="1">
      <c r="A28" s="30" t="n">
        <v>4</v>
      </c>
      <c r="B28" s="4" t="inlineStr">
        <is>
          <t>Final Broadcast (Preparation)</t>
        </is>
      </c>
      <c r="C28" s="4" t="inlineStr">
        <is>
          <t>xx</t>
        </is>
      </c>
      <c r="E28" s="30" t="inlineStr">
        <is>
          <t>xx</t>
        </is>
      </c>
    </row>
    <row r="29" ht="16.5" customHeight="1">
      <c r="A29" s="30" t="n">
        <v>5</v>
      </c>
      <c r="B29" s="4" t="inlineStr">
        <is>
          <t>The Final Broadcast</t>
        </is>
      </c>
      <c r="C29" s="4" t="inlineStr">
        <is>
          <t>xx</t>
        </is>
      </c>
      <c r="E29" s="30" t="inlineStr">
        <is>
          <t>xx</t>
        </is>
      </c>
    </row>
    <row r="30" ht="16.5" customHeight="1">
      <c r="A30" s="30" t="n">
        <v>6</v>
      </c>
      <c r="B30" s="4" t="inlineStr">
        <is>
          <t>Recap Day 3</t>
        </is>
      </c>
    </row>
  </sheetData>
  <mergeCells count="1">
    <mergeCell ref="E11:E12"/>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1"/>
  <sheetViews>
    <sheetView zoomScaleNormal="100" workbookViewId="0">
      <selection activeCell="A1" sqref="A1"/>
    </sheetView>
  </sheetViews>
  <sheetFormatPr baseColWidth="8" defaultColWidth="8.7109375" defaultRowHeight="14.45"/>
  <sheetData/>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FFD966"/>
    <outlinePr summaryBelow="1" summaryRight="1"/>
    <pageSetUpPr/>
  </sheetPr>
  <dimension ref="A1:J33"/>
  <sheetViews>
    <sheetView topLeftCell="A16" zoomScale="77" zoomScaleNormal="77" workbookViewId="0">
      <selection activeCell="E13" sqref="E13:F20"/>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24" customWidth="1" style="30" min="5" max="5"/>
    <col width="43.7109375" customWidth="1" style="4" min="6" max="6"/>
    <col width="8.85546875" customWidth="1" style="4" min="7" max="7"/>
    <col width="16.7109375" customWidth="1" style="34" min="8" max="8"/>
    <col width="8.85546875" customWidth="1" style="4" min="9" max="16384"/>
  </cols>
  <sheetData>
    <row r="1"/>
    <row r="2" ht="15.75" customHeight="1">
      <c r="B2" s="36" t="inlineStr">
        <is>
          <t>Day 1: Launchpad: The Beginning of Everything</t>
        </is>
      </c>
      <c r="C2" s="36" t="n"/>
    </row>
    <row r="3" ht="15.75" customHeight="1">
      <c r="B3" s="37" t="inlineStr">
        <is>
          <t>Dalam Opening Ceremony, Senior Director the organization akan memberikan sambutan. Lalu dilanjutkan setiap individu dan kelompok diberikan waktu 10 menit untuk membuat perkenalan kelompok.</t>
        </is>
      </c>
    </row>
    <row r="4" ht="15.75" customHeight="1">
      <c r="B4" s="151" t="inlineStr">
        <is>
          <t>Cara Pengisian:</t>
        </is>
      </c>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63"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75" customHeight="1">
      <c r="B8" s="153" t="inlineStr">
        <is>
          <t>4 Jika terdapat bukti perilaku yang mencerminkan kompetensi lainnya yang tidak ada di lembar observasi, observer diperbolehkan mencantumkannya pada bagian catatan di akhir formulir.</t>
        </is>
      </c>
    </row>
    <row r="9"/>
    <row r="10"/>
    <row r="11" ht="58.5" customHeight="1">
      <c r="B11" s="38" t="inlineStr">
        <is>
          <t>Kompetensi</t>
        </is>
      </c>
      <c r="C11" s="38" t="inlineStr">
        <is>
          <t>Indikator Perilaku</t>
        </is>
      </c>
      <c r="D11" s="38" t="inlineStr">
        <is>
          <t>Contoh kalimat/perilaku</t>
        </is>
      </c>
      <c r="E11" s="39"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30" customHeight="1">
      <c r="B12" s="149" t="n"/>
      <c r="C12" s="200" t="n"/>
      <c r="D12" s="201" t="n"/>
      <c r="E12" s="44" t="n"/>
      <c r="F12" s="45" t="n"/>
      <c r="H12" s="46">
        <f>B13</f>
        <v/>
      </c>
      <c r="I12" s="47">
        <f>IF(COUNT(E13:E16)=0,"",SUM(E13:E16))</f>
        <v/>
      </c>
      <c r="J12" s="48">
        <f>IF(COUNT(E13:E16)=0,"",IF(I12&lt;=2,"Sangat Jarang / Tidak Muncul",IF(I12&lt;=4,"Kadang-Kadang",IF(I12&lt;=6,"Sering Muncul","Konsisten Muncul"))))</f>
        <v/>
      </c>
    </row>
    <row r="13" ht="158.25" customHeight="1">
      <c r="B13" s="150" t="inlineStr">
        <is>
          <t>Karsa Satya:
General Observation</t>
        </is>
      </c>
      <c r="C13" s="46" t="inlineStr">
        <is>
          <t>Datang tepat waktu pada saat sesi</t>
        </is>
      </c>
      <c r="D13" s="46" t="inlineStr">
        <is>
          <t>Datang sebelum pembicara mulai menyampaikan materi
0 = terlambat (setelah pembicara sudah mulai)
1 = tepat waktu (sesaat pembicara mulai)</t>
        </is>
      </c>
      <c r="E13" s="49" t="n">
        <v>2</v>
      </c>
      <c r="F13" s="134" t="inlineStr">
        <is>
          <t>Pada awal sesi Launchpad: The Beginning of Everything, observasi kelompok mencatat [redacted] bersama peserta lain hadir sesuai waktu kegiatan. Rincian yang terlihat: Datang tepat waktu; observasi kelompok: datang tepat waktu.</t>
        </is>
      </c>
      <c r="H13" s="46">
        <f>B17</f>
        <v/>
      </c>
      <c r="I13" s="47">
        <f>IF(COUNT(E17:E20)=0,"",SUM(E17:E20))</f>
        <v/>
      </c>
      <c r="J13" s="48">
        <f>IF(COUNT(E17:E20)=0,"",IF(I13&lt;=2,"Sangat Jarang / Tidak Muncul",IF(I13&lt;=4,"Kadang-Kadang",IF(I13&lt;=6,"Sering Muncul","Konsisten Muncul"))))</f>
        <v/>
      </c>
    </row>
    <row r="14" ht="158.25" customHeight="1">
      <c r="B14" s="202" t="n"/>
      <c r="C14" s="46" t="inlineStr">
        <is>
          <t>Berpakaian rapi sesuai ketentuan aturan the organization</t>
        </is>
      </c>
      <c r="D14" s="50" t="inlineStr">
        <is>
          <t>Menggunakan dresscode rapi sesuai dengan ketentuan aturan the organization. 
Day 1: Professional office
Day 2: Berbatik
Day 3: Kaos Peserta + Blazer
0= salah dresscode
1= kurang rapi dengan ketentuan the organization
2 = sesuai ketentuan the organization</t>
        </is>
      </c>
      <c r="E14" s="49" t="n">
        <v>2</v>
      </c>
      <c r="F14" s="134" t="inlineStr">
        <is>
          <t>Untuk aspek kerapian dan kesesuaian busana di sesi Launchpad: The Beginning of Everything, [redacted] dengan penampilan yang terlihat sebagai berikut: Menggunakan baju hitam profesional dengan blazer abu-abu.</t>
        </is>
      </c>
    </row>
    <row r="15" ht="158.25" customHeight="1">
      <c r="B15" s="202" t="n"/>
      <c r="C15" s="46" t="inlineStr">
        <is>
          <t>Menunjukkan fokus dan perhatian penuh saat pembicara memaparkan materi.</t>
        </is>
      </c>
      <c r="D15" s="46" t="inlineStr">
        <is>
          <t>0 = Melakukan aktivitas lain hampir di seluruh sesi ketika orang lain berbicara (main hp, bermain laptop, tidur, keluar untuk waktu lama).
1 = Sesekali 
2 = Full Atensi</t>
        </is>
      </c>
      <c r="E15" s="49" t="n">
        <v>2</v>
      </c>
      <c r="F15" s="134" t="inlineStr">
        <is>
          <t>Saat sesi Launchpad berlangsung, [redacted] sering mengangguk ketika pembicara menyampaikan materi dan mencatat poin visi-misi. Perilakunya terlihat fokus sepanjang sesi.</t>
        </is>
      </c>
    </row>
    <row r="16" ht="158.25" customHeight="1">
      <c r="B16" s="203" t="n"/>
      <c r="C16" s="46" t="inlineStr">
        <is>
          <t>Menunjukkan etika profesional dan memberikan respons apresiatif terhadap jalannya forum.</t>
        </is>
      </c>
      <c r="D16" s="46" t="inlineStr">
        <is>
          <t>Memberikan reaksi yang pantas saat berinteraksi dengan pembicara/MC (tidak hanya diam mematung).
1 = Merespons sapaan/instruksi sesekali saja, namun terkesan formalitas atau kurang antusias.
2 = Proaktif memberikan respons (menjawab salam, bertepuk tangan di momen yang tepat)</t>
        </is>
      </c>
      <c r="E16" s="49" t="n">
        <v>2</v>
      </c>
      <c r="F16" s="134" t="inlineStr">
        <is>
          <t>Dalam momen respons forum pada sesi Launchpad: The Beginning of Everything, [redacted] Ikut respons/yel bersama kelompok saat diminta menjawab semangat pagi.</t>
        </is>
      </c>
    </row>
    <row r="17" ht="158.25" customHeight="1">
      <c r="B17" s="150" t="inlineStr">
        <is>
          <t>Karsa Daya: GRIT</t>
        </is>
      </c>
      <c r="C17" s="46" t="inlineStr">
        <is>
          <t>Tetap fokus dan menunjukkan keterlibatan aktif sepanjang sesi meskipun durasi panjang atau materi kompleks</t>
        </is>
      </c>
      <c r="D17" s="46" t="inlineStr">
        <is>
          <t>Peserta mencatat poin penting dan merespons pertanyaan dari moderator tetap engaged sampai sesi akhir</t>
        </is>
      </c>
      <c r="E17" s="49" t="n">
        <v>2</v>
      </c>
      <c r="F17" s="134" t="inlineStr">
        <is>
          <t>Sepanjang sesi Launchpad: The Beginning of Everything, [redacted] Menunjukkan perhatian aktif dan mencatat restatement visi-misi.</t>
        </is>
      </c>
    </row>
    <row r="18" ht="158.25" customHeight="1">
      <c r="B18" s="202" t="n"/>
      <c r="C18" s="46" t="inlineStr">
        <is>
          <t>Mengajukan pertanyaan atau komentar yang menunjukkan ketekunan dalam memahami materi, bukan sekadar permukaan</t>
        </is>
      </c>
      <c r="D18" s="46" t="inlineStr">
        <is>
          <t>Contoh pertanyaan: Tadi Ibu sebut logistik ekspor sempat drop saat kurs meningkat. Apa strategi baru yang akhirnya berhasil menjaga volume?</t>
        </is>
      </c>
      <c r="E18" s="49" t="n">
        <v>0</v>
      </c>
      <c r="F18" s="134" t="inlineStr">
        <is>
          <t>Pada sesi Launchpad: The Beginning of Everything, tidak ada segmen tanya jawab atau forum komentar substantif. Peserta tidak memiliki kesempatan terstruktur untuk mengajukan pertanyaan atau komentar mendalam pada indikator ini.</t>
        </is>
      </c>
    </row>
    <row r="19" ht="158.25" customHeight="1">
      <c r="B19" s="202" t="n"/>
      <c r="C19" s="46" t="inlineStr">
        <is>
          <t>Mempertahankan bahasa tubuh yang antusias sepanjang durasi acara.</t>
        </is>
      </c>
      <c r="D19" s="46" t="inlineStr">
        <is>
          <t>Tidak menunjukkan bahasa tubuh yang pasrah atau kelelahan ekstrem, terpisah dari sekadar "tidak main HP".
0 = Menunjukkan bahasa tubuh yang sangat malas (bersandar pasrah merosot di kursi, menunduk terus, wajah ditekuk) di sebagian besar sesi.
1 = Berusaha duduk tegak, namun sesekali terlihat sangat kelelahan, menguap lebar berulang kali, atau merebahkan kepala sesaat.
2 = Konsisten mempertahankan postur antusias (duduk tegap, pandangan mengarah ke panggung) dan menyimak sesi dari awal hingga akhir.</t>
        </is>
      </c>
      <c r="E19" s="49" t="n">
        <v>2</v>
      </c>
      <c r="F19" s="134" t="inlineStr">
        <is>
          <t>Dari sisi bahasa tubuh selama sesi Launchpad: The Beginning of Everything, [redacted] Bahasa tubuh aktif melalui nodding berulang saat HC berbicara.</t>
        </is>
      </c>
    </row>
    <row r="20" ht="158.25" customHeight="1">
      <c r="B20" s="203" t="n"/>
      <c r="C20" s="46" t="inlineStr">
        <is>
          <t>Menunjukkan ketekunan menyimak pada saat sesi diskusi/Tanya Jawab (Q&amp;A) berlangsung, meskipun bukan dirinya yang bertanya.</t>
        </is>
      </c>
      <c r="D20" s="46" t="inlineStr">
        <is>
          <t>Mengukur fokus peserta saat mendengar pertanyaan dari rekan lain dan jawaban dari pembicara.
0 = Langsung check-out (mulai ngobrol santai dengan sebelah, membuka HP, atau terlihat tidak peduli) begitu sesi Q&amp;A dimulai.
1 = Tetap melihat ke arah panggung, namun pasif dan terlihat bosan/menurun fokusnya dibandingkan saat materi utama.
2 = Menyimak pertanyaan dari peserta lain dan jawaban dari pembicara dengan saksama (sama seriusnya dengan saat mendengarkan materi utama).</t>
        </is>
      </c>
      <c r="E20" s="49" t="n">
        <v>0</v>
      </c>
      <c r="F20" s="134" t="inlineStr">
        <is>
          <t>Pada sesi Launchpad: The Beginning of Everything, tidak ada segmen Q&amp;A. Tidak ada momen bagi peserta untuk menyimak pertanyaan peserta lain beserta jawaban narasumber pada indikator ini.</t>
        </is>
      </c>
    </row>
    <row r="21" ht="15.75" customHeight="1">
      <c r="B21" s="34" t="n"/>
      <c r="C21" s="34" t="n"/>
      <c r="D21" s="34" t="n"/>
      <c r="E21" s="33" t="n"/>
      <c r="F21" s="34" t="n"/>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B25" s="34" t="n"/>
      <c r="C25" s="34" t="n"/>
      <c r="D25" s="34" t="n"/>
      <c r="E25" s="33" t="n"/>
      <c r="F25" s="34" t="n"/>
    </row>
    <row r="26" ht="15.75" customHeight="1">
      <c r="B26" s="34" t="n"/>
      <c r="C26" s="34" t="n"/>
      <c r="D26" s="34" t="n"/>
      <c r="E26" s="33" t="n"/>
      <c r="F26" s="34" t="n"/>
    </row>
    <row r="27" ht="15.75" customHeight="1">
      <c r="B27" s="34" t="n"/>
      <c r="C27" s="34" t="n"/>
      <c r="D27" s="34" t="n"/>
      <c r="E27" s="33" t="n"/>
      <c r="F27" s="34" t="n"/>
    </row>
    <row r="28" ht="15.75" customHeight="1">
      <c r="B28" s="34" t="n"/>
      <c r="C28" s="34" t="n"/>
      <c r="D28" s="34" t="n"/>
      <c r="E28" s="33" t="n"/>
      <c r="F28" s="34" t="n"/>
    </row>
    <row r="29" ht="15.75" customHeight="1">
      <c r="B29" s="34" t="n"/>
      <c r="C29" s="34" t="n"/>
      <c r="D29" s="34" t="n"/>
      <c r="E29" s="33" t="n"/>
      <c r="F29" s="34" t="n"/>
    </row>
    <row r="30" ht="15.75" customHeight="1">
      <c r="B30" s="34" t="n"/>
      <c r="C30" s="34" t="n"/>
      <c r="D30" s="34" t="n"/>
      <c r="E30" s="33" t="n"/>
      <c r="F30" s="34" t="n"/>
    </row>
    <row r="31" ht="15.75" customHeight="1">
      <c r="B31" s="34" t="n"/>
      <c r="C31" s="34" t="n"/>
      <c r="D31" s="34" t="n"/>
      <c r="E31" s="33" t="n"/>
      <c r="F31" s="34" t="n"/>
    </row>
    <row r="32" ht="15.75" customHeight="1">
      <c r="B32" s="34" t="n"/>
      <c r="C32" s="34" t="n"/>
      <c r="D32" s="34" t="n"/>
      <c r="E32" s="33" t="n"/>
      <c r="F32" s="34" t="n"/>
    </row>
    <row r="33" ht="15.75" customHeight="1">
      <c r="E33" s="33" t="n"/>
    </row>
  </sheetData>
  <mergeCells count="8">
    <mergeCell ref="B13:B16"/>
    <mergeCell ref="B5:D5"/>
    <mergeCell ref="B17:B20"/>
    <mergeCell ref="B8:D8"/>
    <mergeCell ref="B4:D4"/>
    <mergeCell ref="B12:D12"/>
    <mergeCell ref="B7:D7"/>
    <mergeCell ref="B6:D6"/>
  </mergeCell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tabColor rgb="FFFFD966"/>
    <outlinePr summaryBelow="1" summaryRight="1"/>
    <pageSetUpPr/>
  </sheetPr>
  <dimension ref="A1:J33"/>
  <sheetViews>
    <sheetView topLeftCell="A22" zoomScale="91" zoomScaleNormal="91" workbookViewId="0">
      <selection activeCell="E13" sqref="E13:F20"/>
    </sheetView>
  </sheetViews>
  <sheetFormatPr baseColWidth="8" defaultColWidth="8.85546875" defaultRowHeight="15.75" customHeight="1"/>
  <cols>
    <col width="4.42578125" customWidth="1" style="4" min="1" max="1"/>
    <col width="20.28515625" customWidth="1" style="4" min="2" max="2"/>
    <col width="35.42578125" customWidth="1" style="4" min="3" max="3"/>
    <col width="38" customWidth="1" style="4" min="4" max="4"/>
    <col width="18.28515625" customWidth="1" style="30" min="5" max="5"/>
    <col width="43.7109375" customWidth="1" style="4" min="6" max="6"/>
    <col width="8.85546875" customWidth="1" style="4" min="7" max="7"/>
    <col width="13.28515625" customWidth="1" style="4" min="8" max="8"/>
    <col width="8.85546875" customWidth="1" style="4" min="9" max="16384"/>
  </cols>
  <sheetData>
    <row r="1"/>
    <row r="2" ht="15.75" customHeight="1">
      <c r="B2" s="36" t="inlineStr">
        <is>
          <t>Day 1: Talkshow: The Signal: Voices from the Field</t>
        </is>
      </c>
      <c r="C2" s="36" t="n"/>
    </row>
    <row r="3" ht="15.75" customHeight="1">
      <c r="B3" s="37" t="inlineStr">
        <is>
          <t>Sesi talk show akan dibagi menjadi 3 bagian: sharing, QnA, dan wrap-up.</t>
        </is>
      </c>
    </row>
    <row r="4" ht="15.75" customHeight="1">
      <c r="B4" s="151" t="inlineStr">
        <is>
          <t>Cara Pengisian:</t>
        </is>
      </c>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63"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75" customHeight="1">
      <c r="B8" s="153" t="inlineStr">
        <is>
          <t>4 Jika terdapat bukti perilaku yang mencerminkan kompetensi lainnya yang tidak ada di lembar observasi, observer diperbolehkan mencantumkannya pada bagian catatan di akhir formulir.</t>
        </is>
      </c>
    </row>
    <row r="9"/>
    <row r="10"/>
    <row r="11" ht="58.5" customHeight="1">
      <c r="B11" s="38" t="inlineStr">
        <is>
          <t>Kompetensi</t>
        </is>
      </c>
      <c r="C11" s="38" t="inlineStr">
        <is>
          <t>Indikator Perilaku</t>
        </is>
      </c>
      <c r="D11" s="38" t="inlineStr">
        <is>
          <t>Contoh kalimat/perilaku</t>
        </is>
      </c>
      <c r="E11" s="39"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37.5" customHeight="1">
      <c r="B12" s="149" t="n"/>
      <c r="C12" s="200" t="n"/>
      <c r="D12" s="201" t="n"/>
      <c r="E12" s="44" t="n"/>
      <c r="F12" s="45" t="n"/>
      <c r="H12" s="46">
        <f>B13</f>
        <v/>
      </c>
      <c r="I12" s="47">
        <f>IF(COUNT(E13:E16)=0,"",SUM(E13:E16))</f>
        <v/>
      </c>
      <c r="J12" s="48">
        <f>IF(COUNT(E13:E16)=0,"",IF(I12&lt;=2,"Sangat Jarang / Tidak Muncul",IF(I12&lt;=4,"Kadang-Kadang",IF(I12&lt;=6,"Sering Muncul","Konsisten Muncul"))))</f>
        <v/>
      </c>
    </row>
    <row r="13" ht="47.25" customHeight="1">
      <c r="B13" s="150" t="inlineStr">
        <is>
          <t>Karsa Satya:
General Observation</t>
        </is>
      </c>
      <c r="C13" s="46" t="inlineStr">
        <is>
          <t>Datang tepat waktu pada saat sesi</t>
        </is>
      </c>
      <c r="D13" s="46" t="inlineStr">
        <is>
          <t>Datang sebelum pembicara mulai menyampaikan materi
0 = terlambat (setelah pembicara sudah mulai)
1 = tepat waktu (sesaat pembicara mulai)</t>
        </is>
      </c>
      <c r="E13" s="49" t="n">
        <v>2</v>
      </c>
      <c r="F13" s="134" t="inlineStr">
        <is>
          <t>Pada awal sesi The Signal: Voices from the Field, observasi kelompok mencatat [redacted] bersama peserta lain hadir sesuai waktu kegiatan. Rincian yang terlihat: Datang dari cafe break tepat waktu bersama kelompok.</t>
        </is>
      </c>
      <c r="H13" s="46">
        <f>B17</f>
        <v/>
      </c>
      <c r="I13" s="47">
        <f>IF(COUNT(E17:E20)=0,"",SUM(E17:E20))</f>
        <v/>
      </c>
      <c r="J13" s="48">
        <f>IF(COUNT(E17:E20)=0,"",IF(I13&lt;=2,"Sangat Jarang / Tidak Muncul",IF(I13&lt;=4,"Kadang-Kadang",IF(I13&lt;=6,"Sering Muncul","Konsisten Muncul"))))</f>
        <v/>
      </c>
    </row>
    <row r="14" ht="93.75" customHeight="1">
      <c r="B14" s="202" t="n"/>
      <c r="C14" s="46" t="inlineStr">
        <is>
          <t>Berpakaian rapi sesuai ketentuan aturan the organization</t>
        </is>
      </c>
      <c r="D14" s="50" t="inlineStr">
        <is>
          <t>Menggunakan dresscode rapi sesuai dengan ketentuan aturan the organization. 
Day 1: Professional office
Day 2: Berbatik
Day 3: Kaos Peserta + Blazer
0= salah dresscode
1= kurang rapi dengan ketentuan the organization
2 = sesuai ketentuan the organization</t>
        </is>
      </c>
      <c r="E14" s="49" t="n">
        <v>2</v>
      </c>
      <c r="F14" s="134" t="inlineStr">
        <is>
          <t>Untuk aspek kerapian dan kesesuaian busana di sesi The Signal: Voices from the Field, observasi kelompok mencatat [redacted] bersama peserta lain dengan penampilan yang terlihat sebagai berikut: Berpakaian rapi sesuai observasi kelompok.</t>
        </is>
      </c>
    </row>
    <row r="15" ht="58.5" customHeight="1">
      <c r="B15" s="202" t="n"/>
      <c r="C15" s="46" t="inlineStr">
        <is>
          <t>Menunjukkan fokus dan perhatian penuh saat pembicara memaparkan materi.</t>
        </is>
      </c>
      <c r="D15" s="46" t="inlineStr">
        <is>
          <t>0 = Melakukan aktivitas lain hampir di seluruh sesi ketika orang lain berbicara (main hp, bermain laptop, tidur, keluar untuk waktu lama).
1 = Sesekali 
2 = Full Atensi</t>
        </is>
      </c>
      <c r="E15" s="49" t="n">
        <v>2</v>
      </c>
      <c r="F15" s="134" t="inlineStr">
        <is>
          <t>Saat materi atau instruksi berlangsung dalam sesi The Signal: Voices from the Field, [redacted] mencatat yang disampaikan pemateri.</t>
        </is>
      </c>
    </row>
    <row r="16" ht="70.5" customHeight="1">
      <c r="B16" s="203" t="n"/>
      <c r="C16" s="46" t="inlineStr">
        <is>
          <t>Menunjukkan etika profesional dan memberikan respons apresiatif terhadap jalannya forum.</t>
        </is>
      </c>
      <c r="D16" s="46" t="inlineStr">
        <is>
          <t>Memberikan reaksi yang pantas saat berinteraksi dengan pembicara/MC (tidak hanya diam mematung).
1 = Merespons sapaan/instruksi sesekali saja, namun terkesan formalitas atau kurang antusias.
2 = Proaktif memberikan respons (menjawab salam, bertepuk tangan di momen yang tepat)</t>
        </is>
      </c>
      <c r="E16" s="49" t="n">
        <v>2</v>
      </c>
      <c r="F16" s="134" t="inlineStr">
        <is>
          <t>Dalam momen respons forum pada sesi The Signal: Voices from the Field, [redacted] Tepuk tangan saat jawaban pertanyaan kelompok lain terjawab.</t>
        </is>
      </c>
    </row>
    <row r="17" ht="35.25" customHeight="1">
      <c r="B17" s="150" t="inlineStr">
        <is>
          <t>Karsa Daya: GRIT</t>
        </is>
      </c>
      <c r="C17" s="46" t="inlineStr">
        <is>
          <t>Tetap fokus dan menunjukkan keterlibatan aktif sepanjang sesi meskipun durasi panjang atau materi kompleks</t>
        </is>
      </c>
      <c r="D17" s="46" t="inlineStr">
        <is>
          <t>Peserta mencatat poin penting dan merespons pertanyaan dari moderator, tetap engaged sampai sesi akhir</t>
        </is>
      </c>
      <c r="E17" s="49" t="n">
        <v>2</v>
      </c>
      <c r="F17" s="134" t="inlineStr">
        <is>
          <t>Sepanjang sesi The Signal: Voices from the Field, [redacted] mencatat materi pemateri sampai sesi berjalan.</t>
        </is>
      </c>
    </row>
    <row r="18" ht="35.25" customHeight="1">
      <c r="B18" s="202" t="n"/>
      <c r="C18" s="46" t="inlineStr">
        <is>
          <t>Mengajukan pertanyaan atau komentar yang menunjukkan ketekunan dalam memahami materi, bukan sekadar permukaan</t>
        </is>
      </c>
      <c r="D18" s="46" t="inlineStr">
        <is>
          <t>Contoh pertanyaan: Tadi Ibu sebut logistik ekspor sempat drop saat kurs meningkat. Apa strategi baru yang akhirnya berhasil menjaga volume?</t>
        </is>
      </c>
      <c r="E18" s="49" t="n">
        <v>2</v>
      </c>
      <c r="F18" s="134" t="inlineStr">
        <is>
          <t>Pada sesi The Signal: Voices from the Field, [redacted] mengangkat tangan untuk bertanya kepada pemateri.</t>
        </is>
      </c>
    </row>
    <row r="19" ht="147" customHeight="1">
      <c r="B19" s="202" t="n"/>
      <c r="C19" s="46" t="inlineStr">
        <is>
          <t>Mempertahankan bahasa tubuh yang antusias sepanjang durasi acara.</t>
        </is>
      </c>
      <c r="D19" s="46" t="inlineStr">
        <is>
          <t>Tidak menunjukkan bahasa tubuh yang pasrah atau kelelahan ekstrem, terpisah dari sekadar "tidak main HP".
0 = Menunjukkan bahasa tubuh yang sangat malas (bersandar pasrah merosot di kursi, menunduk terus, wajah ditekuk) di sebagian besar sesi.
1 = Berusaha duduk tegak, namun sesekali terlihat sangat kelelahan, menguap lebar berulang kali, atau merebahkan kepala sesaat.
2 = Konsisten mempertahankan postur antusias (duduk tegap, pandangan mengarah ke panggung) dan menyimak sesi dari awal hingga akhir.</t>
        </is>
      </c>
      <c r="E19" s="49" t="n">
        <v>2</v>
      </c>
      <c r="F19" s="134" t="inlineStr">
        <is>
          <t>Dari sisi bahasa tubuh selama sesi The Signal: Voices from the Field, [redacted] Tetap terlibat melalui catatan dan respons selama sesi.</t>
        </is>
      </c>
    </row>
    <row r="20" ht="129" customHeight="1">
      <c r="B20" s="203" t="n"/>
      <c r="C20" s="46" t="inlineStr">
        <is>
          <t>Menunjukkan ketekunan menyimak pada saat sesi diskusi/Tanya Jawab (Q&amp;A) berlangsung, meskipun bukan dirinya yang bertanya.</t>
        </is>
      </c>
      <c r="D20" s="46" t="inlineStr">
        <is>
          <t>Mengukur fokus peserta saat mendengar pertanyaan dari rekan lain dan jawaban dari pembicara.
0 = Langsung check-out (mulai ngobrol santai dengan sebelah, membuka HP, atau terlihat tidak peduli) begitu sesi Q&amp;A dimulai.
1 = Tetap melihat ke arah panggung, namun pasif dan terlihat bosan/menurun fokusnya dibandingkan saat materi utama.
2 = Menyimak pertanyaan dari peserta lain dan jawaban dari pembicara dengan saksama (sama seriusnya dengan saat mendengarkan materi utama).</t>
        </is>
      </c>
      <c r="E20" s="49" t="n">
        <v>2</v>
      </c>
      <c r="F20" s="134" t="inlineStr">
        <is>
          <t>Saat sesi tanya jawab The Signal: Voices from the Field berlangsung, [redacted] menyimak pertanyaan dari kelompok lain hingga jawaban pemateri selesai.</t>
        </is>
      </c>
    </row>
    <row r="21" ht="15.75" customHeight="1">
      <c r="B21" s="34" t="n"/>
      <c r="C21" s="34" t="n"/>
      <c r="D21" s="34" t="n"/>
      <c r="E21" s="33" t="n"/>
      <c r="F21" s="34" t="n"/>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B25" s="34" t="n"/>
      <c r="C25" s="34" t="n"/>
      <c r="D25" s="34" t="n"/>
      <c r="E25" s="33" t="n"/>
      <c r="F25" s="34" t="n"/>
    </row>
    <row r="26" ht="15.75" customHeight="1">
      <c r="B26" s="34" t="n"/>
      <c r="C26" s="34" t="n"/>
      <c r="D26" s="34" t="n"/>
      <c r="E26" s="33" t="n"/>
      <c r="F26" s="34" t="n"/>
    </row>
    <row r="27" ht="15.75" customHeight="1">
      <c r="B27" s="34" t="n"/>
      <c r="C27" s="34" t="n"/>
      <c r="D27" s="34" t="n"/>
      <c r="E27" s="33" t="n"/>
      <c r="F27" s="34" t="n"/>
    </row>
    <row r="28" ht="15.75" customHeight="1">
      <c r="B28" s="34" t="n"/>
      <c r="C28" s="34" t="n"/>
      <c r="D28" s="34" t="n"/>
      <c r="E28" s="33" t="n"/>
      <c r="F28" s="34" t="n"/>
    </row>
    <row r="29" ht="15.75" customHeight="1">
      <c r="B29" s="34" t="n"/>
      <c r="C29" s="34" t="n"/>
      <c r="D29" s="34" t="n"/>
      <c r="E29" s="33" t="n"/>
      <c r="F29" s="34" t="n"/>
    </row>
    <row r="30" ht="15.75" customHeight="1">
      <c r="B30" s="34" t="n"/>
      <c r="C30" s="34" t="n"/>
      <c r="D30" s="34" t="n"/>
      <c r="E30" s="33" t="n"/>
      <c r="F30" s="34" t="n"/>
    </row>
    <row r="31" ht="15.75" customHeight="1">
      <c r="B31" s="34" t="n"/>
      <c r="C31" s="34" t="n"/>
      <c r="D31" s="34" t="n"/>
      <c r="E31" s="33" t="n"/>
      <c r="F31" s="34" t="n"/>
    </row>
    <row r="32" ht="15.75" customHeight="1">
      <c r="B32" s="34" t="n"/>
      <c r="C32" s="34" t="n"/>
      <c r="D32" s="34" t="n"/>
      <c r="E32" s="33" t="n"/>
      <c r="F32" s="34" t="n"/>
    </row>
    <row r="33" ht="15.75" customHeight="1">
      <c r="E33" s="33" t="n"/>
    </row>
  </sheetData>
  <mergeCells count="8">
    <mergeCell ref="B13:B16"/>
    <mergeCell ref="B5:D5"/>
    <mergeCell ref="B17:B20"/>
    <mergeCell ref="B8:D8"/>
    <mergeCell ref="B4:D4"/>
    <mergeCell ref="B12:D12"/>
    <mergeCell ref="B7:D7"/>
    <mergeCell ref="B6:D6"/>
  </mergeCell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tabColor rgb="FFFFD966"/>
    <outlinePr summaryBelow="1" summaryRight="1"/>
    <pageSetUpPr/>
  </sheetPr>
  <dimension ref="A1:J25"/>
  <sheetViews>
    <sheetView topLeftCell="D14" zoomScaleNormal="100" workbookViewId="0">
      <selection activeCell="E14" sqref="E14:F21"/>
    </sheetView>
  </sheetViews>
  <sheetFormatPr baseColWidth="8" defaultColWidth="8.85546875" defaultRowHeight="15.75" customHeight="1"/>
  <cols>
    <col width="4.42578125" customWidth="1" style="4" min="1" max="1"/>
    <col width="20.28515625" customWidth="1" style="4" min="2" max="2"/>
    <col width="41.42578125" customWidth="1" style="4" min="3" max="3"/>
    <col width="35.7109375" customWidth="1" style="4" min="4" max="4"/>
    <col width="24.42578125" customWidth="1" style="30" min="5" max="5"/>
    <col width="43.7109375" customWidth="1" style="4" min="6" max="6"/>
    <col width="9.140625" customWidth="1" style="4" min="7" max="7"/>
    <col width="13.28515625" customWidth="1" style="4" min="8" max="8"/>
    <col width="8.85546875" customWidth="1" style="4" min="9" max="16384"/>
  </cols>
  <sheetData>
    <row r="1"/>
    <row r="2" ht="15.75" customHeight="1">
      <c r="B2" s="36" t="inlineStr">
        <is>
          <t>Day 1: Mission: Signal Decoding</t>
        </is>
      </c>
      <c r="C2" s="36" t="n"/>
    </row>
    <row r="3"/>
    <row r="4"/>
    <row r="5" ht="15.75" customHeight="1">
      <c r="B5" s="151" t="inlineStr">
        <is>
          <t>Cara Pengisian:</t>
        </is>
      </c>
      <c r="E5" s="2" t="inlineStr">
        <is>
          <t>Mapping seats/ Inisial Peserta:</t>
        </is>
      </c>
    </row>
    <row r="6" ht="15.75" customHeight="1">
      <c r="B6" s="152" t="inlineStr">
        <is>
          <t>1. Perhatikan kompetensi dan indikator yang muncul pada peserta</t>
        </is>
      </c>
    </row>
    <row r="7" ht="15.75" customHeight="1">
      <c r="B7" s="152" t="inlineStr">
        <is>
          <t>2. Berikan score untuk setiap indikator perilaku yang dimunculkan mulai dar: 0-2</t>
        </is>
      </c>
    </row>
    <row r="8" ht="54" customHeight="1">
      <c r="B8"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9" ht="26.25" customHeight="1">
      <c r="B9" s="153" t="inlineStr">
        <is>
          <t>4 Jika terdapat bukti perilaku yang mencerminkan kompetensi lainnya yang tidak ada di lembar observasi, observer diperbolehkan mencantumkannya pada bagian catatan di akhir formulir.</t>
        </is>
      </c>
    </row>
    <row r="10" ht="15.75" customHeight="1">
      <c r="B10" s="152" t="n"/>
    </row>
    <row r="11"/>
    <row r="12" ht="54" customHeight="1">
      <c r="B12" s="40" t="inlineStr">
        <is>
          <t>Kompetensi</t>
        </is>
      </c>
      <c r="C12" s="40" t="inlineStr">
        <is>
          <t>Indikator Perilaku</t>
        </is>
      </c>
      <c r="D12" s="40" t="inlineStr">
        <is>
          <t>Contoh kalimat/perilaku</t>
        </is>
      </c>
      <c r="E12" s="52" t="inlineStr">
        <is>
          <t>Score
0 = Tidak terobservasi
1 = Terobservasi sebagian
2 = Terobservasi penuh (konsisten)</t>
        </is>
      </c>
      <c r="F12" s="40" t="inlineStr">
        <is>
          <t>Bukti Perilaku</t>
        </is>
      </c>
      <c r="H12" s="41" t="inlineStr">
        <is>
          <t>Kompetensi</t>
        </is>
      </c>
      <c r="I12" s="42" t="inlineStr">
        <is>
          <t>Score</t>
        </is>
      </c>
      <c r="J12" s="43" t="inlineStr">
        <is>
          <t>Band (per kegiatan)</t>
        </is>
      </c>
    </row>
    <row r="13" ht="47.25" customHeight="1">
      <c r="B13" s="149" t="n"/>
      <c r="C13" s="200" t="n"/>
      <c r="D13" s="201" t="n"/>
      <c r="E13" s="44" t="n"/>
      <c r="F13" s="149" t="n"/>
      <c r="H13" s="46">
        <f>B14</f>
        <v/>
      </c>
      <c r="I13" s="47">
        <f>IF(COUNT(E14:E17)=0,"",SUM(E14:E17))</f>
        <v/>
      </c>
      <c r="J13" s="48">
        <f>IF(COUNT(E14:E17)=0,"",IF(I13&lt;=2,"Sangat Jarang / Tidak Muncul",IF(I13&lt;=4,"Kadang-Kadang",IF(I13&lt;=6,"Sering Muncul","Konsisten Muncul"))))</f>
        <v/>
      </c>
    </row>
    <row r="14" ht="41.25" customHeight="1">
      <c r="B14" s="150" t="inlineStr">
        <is>
          <t>Karsa Daya:
GRIT &amp; Navigating Agility</t>
        </is>
      </c>
      <c r="C14" s="46" t="inlineStr">
        <is>
          <t>Menunjukkan keterlibatan aktif dalam proses penyelesaian tantangan pada setiap ronde</t>
        </is>
      </c>
      <c r="D14" s="46" t="inlineStr">
        <is>
          <t>adaptive communication</t>
        </is>
      </c>
      <c r="E14" s="44" t="n">
        <v>2</v>
      </c>
      <c r="F14" s="134" t="inlineStr">
        <is>
          <t>Sepanjang aktivitas Mission: Signal Decoding, [redacted] menjelaskan pemahaman instruksi ke anggota lain; memberi ide clue yang perlu ditulis.</t>
        </is>
      </c>
      <c r="H14" s="46">
        <f>B18</f>
        <v/>
      </c>
      <c r="I14" s="47">
        <f>IF(COUNT(E18:E21)=0,"",SUM(E18:E21))</f>
        <v/>
      </c>
      <c r="J14" s="48">
        <f>IF(COUNT(E18:E21)=0,"",IF(I14&lt;=2,"Sangat Jarang / Tidak Muncul",IF(I14&lt;=4,"Kadang-Kadang",IF(I14&lt;=6,"Sering Muncul","Konsisten Muncul"))))</f>
        <v/>
      </c>
    </row>
    <row r="15" ht="41.25" customHeight="1">
      <c r="B15" s="202" t="n"/>
      <c r="C15" s="46" t="inlineStr">
        <is>
          <t>Tidak menunjukkan sikap negatif seperti mengeluh dan menyerah ketika kelompok mengalami kesulitan</t>
        </is>
      </c>
      <c r="D15" s="46" t="inlineStr">
        <is>
          <t>strategic adjustment,</t>
        </is>
      </c>
      <c r="E15" s="44" t="n">
        <v>2</v>
      </c>
      <c r="F15" s="134" t="inlineStr">
        <is>
          <t>Saat kelompok menghadapi proses kerja dalam aktivitas Mission: Signal Decoding, [redacted] Tetap mengikuti diskusi instruksi dan proses permainan bersama kelompok.</t>
        </is>
      </c>
    </row>
    <row r="16" ht="54" customHeight="1">
      <c r="B16" s="202" t="n"/>
      <c r="C16" s="46" t="inlineStr">
        <is>
          <t>Menunjukkan keterbukaan terhadap cara kerja atau ide baru dalam kelompok</t>
        </is>
      </c>
      <c r="D16" s="46" t="inlineStr">
        <is>
          <t>openness,</t>
        </is>
      </c>
      <c r="E16" s="44" t="n">
        <v>2</v>
      </c>
      <c r="F16" s="134" t="inlineStr">
        <is>
          <t>Ketika muncul usulan cara kerja dalam aktivitas Mission: Signal Decoding, [redacted] Terbuka dengan suggestion anggota lain terkait deskripsi fisik.</t>
        </is>
      </c>
    </row>
    <row r="17" ht="41.25" customHeight="1">
      <c r="B17" s="203" t="n"/>
      <c r="C17" s="53" t="inlineStr">
        <is>
          <t>Mengambil keputusan sesuai situasi yang berkembang selama aktivitas berlangsung</t>
        </is>
      </c>
      <c r="D17" s="53" t="inlineStr">
        <is>
          <t>Situational judgment.
Saat ada anggota tim mencurigainya, tetap fokus pada tugas &amp; tidak terprovokasi emosional.</t>
        </is>
      </c>
      <c r="E17" s="44" t="n">
        <v>2</v>
      </c>
      <c r="F17" s="134" t="inlineStr">
        <is>
          <t>Pada dinamika pengambilan keputusan di aktivitas Mission: Signal Decoding, [redacted] Mengusulkan clue yang perlu ditulis sebagai penyesuaian cara kerja.</t>
        </is>
      </c>
    </row>
    <row r="18" ht="59.25" customHeight="1">
      <c r="B18" s="150" t="inlineStr">
        <is>
          <t>Karsa Rasa:
Building Partnership</t>
        </is>
      </c>
      <c r="C18" s="54" t="inlineStr">
        <is>
          <t>Memberikan kesempatan kepada anggota tim untuk menyampaikan pendapat</t>
        </is>
      </c>
      <c r="D18" s="46" t="inlineStr">
        <is>
          <t>Proaktif mengajak yang lebih diam. 
contoh: "Menurutmu strategi ambil piece-nya gimana?"</t>
        </is>
      </c>
      <c r="E18" s="44" t="n">
        <v>2</v>
      </c>
      <c r="F18" s="134" t="inlineStr">
        <is>
          <t>Dalam aktivitas Mission: Signal Decoding, [redacted] paling aktif memberi ruang dan mengajak anggota lain terlibat dalam pembahasan instruksi maupun strategi kelompok.</t>
        </is>
      </c>
    </row>
    <row r="19" ht="59.25" customHeight="1">
      <c r="B19" s="202" t="n"/>
      <c r="C19" s="54" t="inlineStr">
        <is>
          <t xml:space="preserve">Menunjukkan sikap terbuka terhadap masukan dari anggota tim, seperti tidak memotong pembicaraan, mengakui ide rekan sebelum menambahkan/mengoreksi, meminta klarifikasi sebelum menolak ide </t>
        </is>
      </c>
      <c r="D19" s="46" t="inlineStr">
        <is>
          <t>"Idemu bagus. Ide itu bisa juga diintegrasikan dengan pakai daftar prioritas piece-nya, kita lebih efisien."</t>
        </is>
      </c>
      <c r="E19" s="44" t="n">
        <v>2</v>
      </c>
      <c r="F19" s="134" t="inlineStr">
        <is>
          <t>Dalam aktivitas Mission: Signal Decoding, [redacted] terbuka terhadap masukan anggota tim. Tidak terlihat perilaku memotong, defensif, atau menolak ide anggota lain.</t>
        </is>
      </c>
    </row>
    <row r="20" ht="59.25" customHeight="1">
      <c r="B20" s="202" t="n"/>
      <c r="C20" s="54" t="inlineStr">
        <is>
          <t>Mendorong terciptanya kesepahaman sebelum kelompok mengambil keputusan</t>
        </is>
      </c>
      <c r="D20" s="46" t="inlineStr">
        <is>
          <t>Merangkum kesepakatan sebelum lanjut ke topik berikutnya, Cek pemahaman secara eksplisit, Mengangkat hal yang belum dibahas sebelum waktu habis, dll</t>
        </is>
      </c>
      <c r="E20" s="44" t="n">
        <v>2</v>
      </c>
      <c r="F20" s="134" t="inlineStr">
        <is>
          <t>Dalam aktivitas Mission: Signal Decoding, [redacted] menjelaskan pemahaman instruksi kepada anggota lain untuk membantu tim menyamakan pemahaman sebelum bergerak ke tahap berikutnya.</t>
        </is>
      </c>
    </row>
    <row r="21" ht="41.25" customHeight="1">
      <c r="B21" s="203" t="n"/>
      <c r="C21" s="54" t="inlineStr">
        <is>
          <t>Menunjukkan upaya menjaga kerja sama kelompok tetap kondusif selama aktivitas berlangsung</t>
        </is>
      </c>
      <c r="D21" s="46" t="inlineStr">
        <is>
          <t>Saat suasana mulai tegang karena kecurigaan, peserta berusaha mendinginkan</t>
        </is>
      </c>
      <c r="E21" s="44" t="n">
        <v>2</v>
      </c>
      <c r="F21" s="134" t="inlineStr">
        <is>
          <t>Sebelum aktivitas Mission: Signal Decoding dimulai dan sebelum kelompok dibagi menjadi dua tim, [redacted] ikut menyuarakan jargon kelompok bersama anggota lain.</t>
        </is>
      </c>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E25" s="33" t="n"/>
    </row>
  </sheetData>
  <mergeCells count="8">
    <mergeCell ref="B14:B17"/>
    <mergeCell ref="B5:D5"/>
    <mergeCell ref="B8:D8"/>
    <mergeCell ref="B18:B21"/>
    <mergeCell ref="B9:D9"/>
    <mergeCell ref="B13:D13"/>
    <mergeCell ref="B7:D7"/>
    <mergeCell ref="B6:D6"/>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tabColor rgb="FFFFD966"/>
    <outlinePr summaryBelow="1" summaryRight="1"/>
    <pageSetUpPr/>
  </sheetPr>
  <dimension ref="A1:J48"/>
  <sheetViews>
    <sheetView topLeftCell="D47" zoomScale="127" zoomScaleNormal="127" workbookViewId="0">
      <selection activeCell="F13" sqref="F13"/>
    </sheetView>
  </sheetViews>
  <sheetFormatPr baseColWidth="8" defaultColWidth="8.85546875" defaultRowHeight="15.75" customHeight="1"/>
  <cols>
    <col width="4.42578125" customWidth="1" style="4" min="1" max="1"/>
    <col width="20.28515625" customWidth="1" style="4" min="2" max="2"/>
    <col width="41.42578125" customWidth="1" style="4" min="3" max="3"/>
    <col width="35.7109375" customWidth="1" style="4" min="4" max="4"/>
    <col width="21" customWidth="1" style="30" min="5" max="5"/>
    <col width="43.7109375" customWidth="1" style="4" min="6" max="6"/>
    <col width="9.140625" customWidth="1" style="4" min="7" max="7"/>
    <col width="14.140625" customWidth="1" style="4" min="8" max="8"/>
    <col width="8.85546875" customWidth="1" style="4" min="9" max="16384"/>
  </cols>
  <sheetData>
    <row r="1"/>
    <row r="2" ht="35.25" customHeight="1">
      <c r="B2" s="36" t="inlineStr">
        <is>
          <t>Day 1: Black Box: Decoding of a Human Life</t>
        </is>
      </c>
      <c r="C2" s="36" t="n"/>
    </row>
    <row r="3"/>
    <row r="4" ht="15.75" customHeight="1">
      <c r="B4" s="151" t="inlineStr">
        <is>
          <t>Cara Pengisian:</t>
        </is>
      </c>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54"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c r="F7" s="34" t="n"/>
    </row>
    <row r="8" ht="40.5" customHeight="1">
      <c r="B8" s="153" t="inlineStr">
        <is>
          <t>4 Jika terdapat bukti perilaku yang mencerminkan kompetensi lainnya yang tidak ada di lembar observasi, observer diperbolehkan mencantumkannya pada bagian catatan di akhir formulir.</t>
        </is>
      </c>
      <c r="F8" s="34" t="n"/>
    </row>
    <row r="9" ht="15.75" customHeight="1">
      <c r="B9" s="152" t="n"/>
    </row>
    <row r="10"/>
    <row r="11" ht="57.75" customHeight="1">
      <c r="B11" s="40" t="inlineStr">
        <is>
          <t>Kompetensi</t>
        </is>
      </c>
      <c r="C11" s="40" t="inlineStr">
        <is>
          <t>Indikator Perilaku</t>
        </is>
      </c>
      <c r="D11" s="40" t="inlineStr">
        <is>
          <t>Contoh kalimat/perilaku</t>
        </is>
      </c>
      <c r="E11" s="55"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30" customHeight="1">
      <c r="B12" s="149" t="n"/>
      <c r="C12" s="200" t="n"/>
      <c r="D12" s="201" t="n"/>
      <c r="E12" s="44" t="n"/>
      <c r="F12" s="149" t="n"/>
      <c r="H12" s="46">
        <f>B13</f>
        <v/>
      </c>
      <c r="I12" s="47">
        <f>IF(COUNT(E13:E16)=0,"",SUM(E13:E16))</f>
        <v/>
      </c>
      <c r="J12" s="48">
        <f>IF(COUNT(E13:E16)=0,"",IF(I12&lt;=2,"Sangat Jarang / Tidak Muncul",IF(I12&lt;=4,"Kadang-Kadang",IF(I12&lt;=6,"Sering Muncul","Konsisten Muncul"))))</f>
        <v/>
      </c>
    </row>
    <row r="13" ht="43.5" customHeight="1">
      <c r="B13" s="150" t="inlineStr">
        <is>
          <t>Karsa Rasa:
Customer First</t>
        </is>
      </c>
      <c r="C13" s="53" t="inlineStr">
        <is>
          <t>Menggunakan informasi dari dokumen nasabah sebagai dasar diskusi kelompok</t>
        </is>
      </c>
      <c r="D13" s="56" t="n"/>
      <c r="E13" s="51" t="n">
        <v>2</v>
      </c>
      <c r="F13" s="134" t="inlineStr">
        <is>
          <t>Pada tahap membaca bahan nasabah dalam Black Box, [redacted] mencatat instruksi, profil nasabah, dan poin hasil diskusi untuk digunakan dalam pembahasan kelompok.</t>
        </is>
      </c>
      <c r="H13" s="46">
        <f>B17</f>
        <v/>
      </c>
      <c r="I13" s="47">
        <f>IF(COUNT(E17:E20)=0,"",SUM(E17:E20))</f>
        <v/>
      </c>
      <c r="J13" s="48">
        <f>IF(COUNT(E17:E20)=0,"",IF(I13&lt;=2,"Sangat Jarang / Tidak Muncul",IF(I13&lt;=4,"Kadang-Kadang",IF(I13&lt;=6,"Sering Muncul","Konsisten Muncul"))))</f>
        <v/>
      </c>
    </row>
    <row r="14" ht="43.5" customHeight="1">
      <c r="B14" s="202" t="n"/>
      <c r="C14" s="53" t="inlineStr">
        <is>
          <t>Mengajukan pertanyaan yang relevan saat phone booth call untuk memahami kondisi nasabah (follow up question, bukan hanya validasi checklist)</t>
        </is>
      </c>
      <c r="D14" s="56" t="n"/>
      <c r="E14" s="51" t="n">
        <v>2</v>
      </c>
      <c r="F14" s="134" t="inlineStr">
        <is>
          <t>Saat kelompok menyiapkan sesi panggilan nasabah, [redacted] menitipkan pertanyaan tentang jumlah rumah yang terjual per bulan.</t>
        </is>
      </c>
      <c r="H14" s="46">
        <f>B21</f>
        <v/>
      </c>
      <c r="I14" s="47">
        <f>IF(COUNT(E21:E24)=0,"",SUM(E21:E24))</f>
        <v/>
      </c>
      <c r="J14" s="48">
        <f>IF(COUNT(E21:E24)=0,"",IF(I14&lt;=2,"Sangat Jarang / Tidak Muncul",IF(I14&lt;=4,"Kadang-Kadang",IF(I14&lt;=6,"Sering Muncul","Konsisten Muncul"))))</f>
        <v/>
      </c>
    </row>
    <row r="15" ht="43.5" customHeight="1">
      <c r="B15" s="202" t="n"/>
      <c r="C15" s="53" t="inlineStr">
        <is>
          <t>Menghubungkan solusi yang dibahas dengan kebutuhan nasabah yang ditemukan</t>
        </is>
      </c>
      <c r="D15" s="56" t="n"/>
      <c r="E15" s="51" t="n">
        <v>2</v>
      </c>
      <c r="F15" s="134" t="inlineStr">
        <is>
          <t>Dalam pembahasan solusi nasabah, [redacted] mengaitkan diskusi dengan target harga, jaminan yang dimiliki nasabah, dan jumlah rumah yang terjual per bulan.</t>
        </is>
      </c>
      <c r="H15" s="46">
        <f>B25</f>
        <v/>
      </c>
      <c r="I15" s="47">
        <f>IF(COUNT(E25:E28)=0,"",SUM(E25:E28))</f>
        <v/>
      </c>
      <c r="J15" s="48">
        <f>IF(COUNT(E25:E28)=0,"",IF(I15&lt;=2,"Sangat Jarang / Tidak Muncul",IF(I15&lt;=4,"Kadang-Kadang",IF(I15&lt;=6,"Sering Muncul","Konsisten Muncul"))))</f>
        <v/>
      </c>
    </row>
    <row r="16" ht="43.5" customHeight="1">
      <c r="B16" s="203" t="n"/>
      <c r="C16" s="53" t="inlineStr">
        <is>
          <t>Menghindari asumsi terhadap kebutuhan nasabah tanpa informasi yang memadai</t>
        </is>
      </c>
      <c r="D16" s="56" t="n"/>
      <c r="E16" s="51" t="n">
        <v>2</v>
      </c>
      <c r="F16" s="134" t="inlineStr">
        <is>
          <t>Untuk mengurangi asumsi dalam Black Box, [redacted] menanyakan jaminan nasabah dan jumlah rumah yang terjual per bulan sebagai dasar pembahasan.</t>
        </is>
      </c>
      <c r="H16" s="57">
        <f>B29</f>
        <v/>
      </c>
      <c r="I16" s="47">
        <f>IF(COUNT(E29:E32)=0,"",SUM(E29:E32))</f>
        <v/>
      </c>
      <c r="J16" s="48">
        <f>IF(COUNT(E29:E32)=0,"",IF(I16&lt;=2,"Sangat Jarang / Tidak Muncul",IF(I16&lt;=4,"Kadang-Kadang",IF(I16&lt;=6,"Sering Muncul","Konsisten Muncul"))))</f>
        <v/>
      </c>
    </row>
    <row r="17" ht="43.5" customHeight="1">
      <c r="B17" s="150" t="inlineStr">
        <is>
          <t>Karsa Rasa:
Building Partnership</t>
        </is>
      </c>
      <c r="C17" s="53" t="inlineStr">
        <is>
          <t>Memberikan kesempatan anggota tim menyampaikan pendapat dalam proses analisis</t>
        </is>
      </c>
      <c r="D17" s="56" t="n"/>
      <c r="E17" s="51" t="n">
        <v>0</v>
      </c>
      <c r="F17" s="134" t="inlineStr">
        <is>
          <t>Dalam proses analisis Black Box, tidak terlihat momen [redacted] secara khusus memberi ruang bicara kepada anggota yang diam.</t>
        </is>
      </c>
      <c r="H17" s="46">
        <f>B33</f>
        <v/>
      </c>
      <c r="I17" s="58">
        <f>IF(COUNT(E33:E36)=0,"",SUM(E33:E36))</f>
        <v/>
      </c>
      <c r="J17" s="48">
        <f>IF(COUNT(E33:E36)=0,"",IF(I17&lt;=2,"Sangat Jarang / Tidak Muncul",IF(I17&lt;=4,"Kadang-Kadang",IF(I17&lt;=6,"Sering Muncul","Konsisten Muncul"))))</f>
        <v/>
      </c>
    </row>
    <row r="18" ht="43.5" customHeight="1">
      <c r="B18" s="202" t="n"/>
      <c r="C18" s="54" t="inlineStr">
        <is>
          <t>Menunjukkan sikap terbuka terhadap masukan dari anggota tim, seperti tidak memotong pembicaraan</t>
        </is>
      </c>
      <c r="D18" s="56" t="n"/>
      <c r="E18" s="51" t="n">
        <v>2</v>
      </c>
      <c r="F18" s="134" t="inlineStr">
        <is>
          <t>Dalam diskusi Black Box, [redacted] mendengarkan masukan anggota lain dan merespons positif saat anggota lain menyampaikan saran.</t>
        </is>
      </c>
      <c r="H18" s="46">
        <f>B37</f>
        <v/>
      </c>
      <c r="I18" s="58">
        <f>IF(COUNT(E37:E40)=0,"",SUM(E37:E40))</f>
        <v/>
      </c>
      <c r="J18" s="48">
        <f>IF(COUNT(E37:E40)=0,"",IF(I18&lt;=2,"Sangat Jarang / Tidak Muncul",IF(I18&lt;=4,"Kadang-Kadang",IF(I18&lt;=6,"Sering Muncul","Konsisten Muncul"))))</f>
        <v/>
      </c>
    </row>
    <row r="19" ht="43.5" customHeight="1">
      <c r="B19" s="202" t="n"/>
      <c r="C19" s="54" t="inlineStr">
        <is>
          <t>Mendorong terciptanya kesepahaman sebelum kelompok mengambil keputusan</t>
        </is>
      </c>
      <c r="D19" s="56" t="n"/>
      <c r="E19" s="51" t="n">
        <v>2</v>
      </c>
      <c r="F19" s="134" t="inlineStr">
        <is>
          <t>Sebelum kelompok melanjutkan keputusan dalam Black Box, [redacted] membantu menjelaskan pemahaman kepada [redacted], [redacted], dan [redacted].</t>
        </is>
      </c>
      <c r="H19" s="46">
        <f>B41</f>
        <v/>
      </c>
      <c r="I19" s="58">
        <f>IF(COUNT(E41:E44)=0,"",SUM(E41:E44))</f>
        <v/>
      </c>
      <c r="J19" s="48">
        <f>IF(COUNT(E41:E44)=0,"",IF(I19&lt;=2,"Sangat Jarang / Tidak Muncul",IF(I19&lt;=4,"Kadang-Kadang",IF(I19&lt;=6,"Sering Muncul","Konsisten Muncul"))))</f>
        <v/>
      </c>
    </row>
    <row r="20" ht="43.5" customHeight="1">
      <c r="B20" s="203" t="n"/>
      <c r="C20" s="54" t="inlineStr">
        <is>
          <t>Menunjukkan upaya menjaga kerja sama kelompok tetap kondusif selama aktivitas berlangsung</t>
        </is>
      </c>
      <c r="D20" s="56" t="n"/>
      <c r="E20" s="51" t="n">
        <v>2</v>
      </c>
      <c r="F20" s="134" t="inlineStr">
        <is>
          <t>Selama kerja kelompok Black Box, [redacted] bekerja dalam situasi kelompok yang kondusif. Tidak terlihat konflik atau perilaku saling menyalahkan antaranggota.</t>
        </is>
      </c>
      <c r="H20" s="46">
        <f>B45</f>
        <v/>
      </c>
      <c r="I20" s="58">
        <f>IF(COUNT(E45:E48)=0,"",SUM(E45:E48))</f>
        <v/>
      </c>
      <c r="J20" s="48">
        <f>IF(COUNT(E45:E48)=0,"",IF(I20&lt;=2,"Sangat Jarang / Tidak Muncul",IF(I20&lt;=4,"Kadang-Kadang",IF(I20&lt;=6,"Sering Muncul","Konsisten Muncul"))))</f>
        <v/>
      </c>
    </row>
    <row r="21" ht="43.5" customHeight="1">
      <c r="B21" s="150" t="inlineStr">
        <is>
          <t>Karsa Mahira:
Being Proactive</t>
        </is>
      </c>
      <c r="C21" s="53" t="inlineStr">
        <is>
          <t>Mengusulkan langkah kerja untuk membantu kelompok bergerak lebih efektif</t>
        </is>
      </c>
      <c r="D21" s="56" t="n"/>
      <c r="E21" s="51" t="n">
        <v>2</v>
      </c>
      <c r="F21" s="134" t="inlineStr">
        <is>
          <t>Pada pengaturan proses kerja Black Box, [redacted] membantu mengarahkan pembahasan melalui target harga dan pertanyaan yang perlu dibawa ke sesi panggilan nasabah.</t>
        </is>
      </c>
    </row>
    <row r="22" ht="43.5" customHeight="1">
      <c r="B22" s="202" t="n"/>
      <c r="C22" s="53" t="inlineStr">
        <is>
          <t>Secara aktif mencari informasi penting dari dokumen yang tersedia</t>
        </is>
      </c>
      <c r="D22" s="56" t="n"/>
      <c r="E22" s="51" t="n">
        <v>2</v>
      </c>
      <c r="F22" s="134" t="inlineStr">
        <is>
          <t>Saat menelusuri bahan kasus Black Box, [redacted] mencatat profil nasabah dan hasil diskusi untuk membantu pembahasan kelompok.</t>
        </is>
      </c>
    </row>
    <row r="23" ht="43.5" customHeight="1">
      <c r="B23" s="202" t="n"/>
      <c r="C23" s="53" t="inlineStr">
        <is>
          <t>Mengambil peran tambahan ketika kelompok membutuhkan bantuan</t>
        </is>
      </c>
      <c r="D23" s="56" t="n"/>
      <c r="E23" s="51" t="n">
        <v>1</v>
      </c>
      <c r="F23" s="134" t="inlineStr">
        <is>
          <t>Di luar diskusi utama Black Box, [redacted] membantu menyusun poin yang perlu dimasukkan ke materi presentasi.</t>
        </is>
      </c>
    </row>
    <row r="24" ht="43.5" customHeight="1">
      <c r="B24" s="203" t="n"/>
      <c r="C24" s="53" t="inlineStr">
        <is>
          <t>Bertindak cepat untuk memberikan solusi saat melihat hambatan yang berpotensi mengganggu proses pengerjaan</t>
        </is>
      </c>
      <c r="D24" s="56" t="n"/>
      <c r="E24" s="51" t="n">
        <v>1</v>
      </c>
      <c r="F24" s="134" t="inlineStr">
        <is>
          <t>Ketika proses Black Box berjalan dengan waktu terbatas, [redacted] membantu menyiapkan pertanyaan dan poin presentasi. Namun kelompok terlambat antre sehingga tidak mendapat sesi panggilan pertama.</t>
        </is>
      </c>
    </row>
    <row r="25" ht="43.5" customHeight="1">
      <c r="B25" s="150" t="inlineStr">
        <is>
          <t>Karsa Mahira:
Relevant to Market</t>
        </is>
      </c>
      <c r="C25" s="54" t="inlineStr">
        <is>
          <t xml:space="preserve">Menghubungkan kebutuhan nasabah dengan produk/solusi the organization yang paling sesuai </t>
        </is>
      </c>
      <c r="D25" s="56" t="n"/>
      <c r="E25" s="51" t="n">
        <v>2</v>
      </c>
      <c r="F25" s="134" t="inlineStr">
        <is>
          <t>Dalam pengaitan kebutuhan nasabah dengan opsi solusi the organization, [redacted] menunjukkan pengetahuan yang luas tentang kebutuhan nasabah dan solusi the organization yang dapat digunakan.</t>
        </is>
      </c>
    </row>
    <row r="26" ht="43.5" customHeight="1">
      <c r="B26" s="202" t="n"/>
      <c r="C26" s="54" t="inlineStr">
        <is>
          <t>Menunjukkan pemahaman terhadap penggunaan produk sesuai kebutuhan nasabah</t>
        </is>
      </c>
      <c r="D26" s="56" t="n"/>
      <c r="E26" s="51" t="n">
        <v>2</v>
      </c>
      <c r="F26" s="134" t="inlineStr">
        <is>
          <t>Pada pembahasan penggunaan produk dalam Black Box, [redacted] menunjukkan pemahaman terhadap kebutuhan nasabah dan opsi solusi the organization yang sesuai.</t>
        </is>
      </c>
    </row>
    <row r="27" ht="43.5" customHeight="1">
      <c r="B27" s="202" t="n"/>
      <c r="C27" s="54" t="inlineStr">
        <is>
          <t>Mengaitkan pembahasan kelompok dengan konteks kebutuhan bisnis the organization</t>
        </is>
      </c>
      <c r="D27" s="56" t="n"/>
      <c r="E27" s="51" t="n">
        <v>2</v>
      </c>
      <c r="F27" s="134" t="inlineStr">
        <is>
          <t>Saat diskusi diarahkan ke konteks bisnis the organization dalam Black Box, [redacted] mengaitkan kebutuhan nasabah dengan produk, jaminan, target harga, dan kondisi penjualan rumah.</t>
        </is>
      </c>
    </row>
    <row r="28" ht="43.5" customHeight="1">
      <c r="B28" s="203" t="n"/>
      <c r="C28" s="54" t="inlineStr">
        <is>
          <t>Menghubungkan isu eksternal (ekonomi, sosial, teknologi) dengan solusi yang diberikan pada nasabah</t>
        </is>
      </c>
      <c r="D28" s="56" t="n"/>
      <c r="E28" s="51" t="n">
        <v>0</v>
      </c>
      <c r="F28" s="134" t="inlineStr">
        <is>
          <t>Dalam Black Box, [redacted] tidak terlihat menghubungkan isu eksternal seperti ekonomi, sosial, teknologi, kondisi pasar, atau kompetitor bank dengan solusi nasabah.</t>
        </is>
      </c>
    </row>
    <row r="29" ht="43.5" customHeight="1">
      <c r="B29" s="150" t="inlineStr">
        <is>
          <t>Karsa Tumbuh:
Growth Oriented</t>
        </is>
      </c>
      <c r="C29" s="54" t="inlineStr">
        <is>
          <t>Mengajukan klarifikasi untuk memperdalam pemahaman terhadap kasus</t>
        </is>
      </c>
      <c r="D29" s="56" t="n"/>
      <c r="E29" s="51" t="n">
        <v>2</v>
      </c>
      <c r="F29" s="134" t="inlineStr">
        <is>
          <t>Pada saat memperdalam pemahaman kasus Black Box, [redacted] mengajukan klarifikasi tentang jaminan dan jumlah rumah yang terjual per bulan.</t>
        </is>
      </c>
    </row>
    <row r="30" ht="43.5" customHeight="1">
      <c r="B30" s="202" t="n"/>
      <c r="C30" s="54" t="inlineStr">
        <is>
          <t>Berbagi pengetahuan atau informasi yang membantu proses kelompok</t>
        </is>
      </c>
      <c r="D30" s="56" t="inlineStr">
        <is>
          <t>Berbagi insight/pembelajaran baru yang baru saja diperoleh dari analisis dokumen/call/pengalaman/produk the organization</t>
        </is>
      </c>
      <c r="E30" s="51" t="n">
        <v>2</v>
      </c>
      <c r="F30" s="134" t="inlineStr">
        <is>
          <t>Dalam pertukaran informasi kelompok Black Box, [redacted] membantu menjelaskan informasi kepada [redacted], [redacted], dan [redacted].</t>
        </is>
      </c>
    </row>
    <row r="31" ht="43.5" customHeight="1">
      <c r="B31" s="202" t="n"/>
      <c r="C31" s="54" t="inlineStr">
        <is>
          <t>Mengusulkan pendekatan atau ide baru dalam penyusunan solusi keuangan nasabah</t>
        </is>
      </c>
      <c r="D31" s="56" t="n"/>
      <c r="E31" s="51" t="n">
        <v>2</v>
      </c>
      <c r="F31" s="134" t="inlineStr">
        <is>
          <t>Ketika kelompok menyusun pendekatan solusi Black Box, [redacted] mengusulkan fokus pada target harga, jaminan, dan jumlah rumah terjual per bulan.</t>
        </is>
      </c>
    </row>
    <row r="32" ht="43.5" customHeight="1">
      <c r="B32" s="203" t="n"/>
      <c r="C32" s="54" t="inlineStr">
        <is>
          <t>Mengembangkan ide kelompok agar solusi yang ditawarkan lebih menarik bagi nasabah</t>
        </is>
      </c>
      <c r="D32" s="56" t="n"/>
      <c r="E32" s="51" t="n">
        <v>2</v>
      </c>
      <c r="F32" s="134" t="inlineStr">
        <is>
          <t>Pada proses memperkaya solusi kelompok Black Box, [redacted] mengembangkan ide melalui pertanyaan jaminan, target harga, dan jumlah rumah terjual.</t>
        </is>
      </c>
    </row>
    <row r="33" ht="43.5" customHeight="1">
      <c r="B33" s="150" t="inlineStr">
        <is>
          <t>Karsa Jaya:
Excel in Execution</t>
        </is>
      </c>
      <c r="C33" s="54" t="inlineStr">
        <is>
          <t>Menyusun rencana kerja dengan target waktu dan hasil yang jelas</t>
        </is>
      </c>
      <c r="D33" s="56" t="n"/>
      <c r="E33" s="51" t="n">
        <v>0</v>
      </c>
      <c r="F33" s="134" t="inlineStr">
        <is>
          <t>Dalam Black Box, [redacted] memiliki cara masing-masing untuk menganalisis kasus, tetapi tidak terlihat adanya goal setting kelompok atau target kerja bersama yang jelas.</t>
        </is>
      </c>
    </row>
    <row r="34" ht="43.5" customHeight="1">
      <c r="B34" s="202" t="n"/>
      <c r="C34" s="54" t="inlineStr">
        <is>
          <t>Mendistribusikan tugas secara strategis dan memonitor progres kerja kelompok</t>
        </is>
      </c>
      <c r="D34" s="56" t="n"/>
      <c r="E34" s="51" t="n">
        <v>0</v>
      </c>
      <c r="F34" s="134" t="inlineStr">
        <is>
          <t>Dalam Black Box, [redacted] bekerja mengikuti alur spontan kelompok. Tidak terlihat pembagian tugas strategis atau monitoring progres yang jelas.</t>
        </is>
      </c>
    </row>
    <row r="35" ht="43.5" customHeight="1">
      <c r="B35" s="202" t="n"/>
      <c r="C35" s="54" t="inlineStr">
        <is>
          <t>Memberikan masukan yang membangun untuk meningkatkan kualitas output kelompok</t>
        </is>
      </c>
      <c r="D35" s="56" t="inlineStr">
        <is>
          <t>"Ini bisa lebih tajam lagi enggak?"</t>
        </is>
      </c>
      <c r="E35" s="51" t="n">
        <v>2</v>
      </c>
      <c r="F35" s="134" t="inlineStr">
        <is>
          <t>Pada penyusunan output Black Box, [redacted] membantu poin presentasi dan menjelaskan informasi kepada anggota lain untuk memperbaiki bahan kelompok.</t>
        </is>
      </c>
    </row>
    <row r="36" ht="43.5" customHeight="1">
      <c r="B36" s="203" t="n"/>
      <c r="C36" s="54" t="inlineStr">
        <is>
          <t>Menyelesaikan bagian sendiri dengan tepat waktu dan kualitas tinggi sebelum final check bersama</t>
        </is>
      </c>
      <c r="D36" s="56" t="n"/>
      <c r="E36" s="51" t="n">
        <v>1</v>
      </c>
      <c r="F36" s="134" t="inlineStr">
        <is>
          <t>Menjelang penyelesaian output Black Box, [redacted] membantu poin presentasi dan pertanyaan call, tetapi bukan pemilik bagian teknis utama.</t>
        </is>
      </c>
    </row>
    <row r="37" ht="43.5" customHeight="1">
      <c r="B37" s="150" t="inlineStr">
        <is>
          <t>Karsa Daya: GRIT &amp; Navigating Agility</t>
        </is>
      </c>
      <c r="C37" s="53" t="inlineStr">
        <is>
          <t>Menunjukkan keterlibatan aktif dalam proses penyelesaian tantangan pada setiap ronde (tidak menurun di tengah/akhir)</t>
        </is>
      </c>
      <c r="D37" s="56" t="n"/>
      <c r="E37" s="51" t="n">
        <v>2</v>
      </c>
      <c r="F37" s="134" t="inlineStr">
        <is>
          <t>Selama proses Black Box, [redacted] aktif mencatat, mengusulkan pertanyaan, membantu poin presentasi, dan menjelaskan informasi kepada anggota lain.</t>
        </is>
      </c>
    </row>
    <row r="38" ht="43.5" customHeight="1">
      <c r="B38" s="202" t="n"/>
      <c r="C38" s="53" t="inlineStr">
        <is>
          <t>Tidak menunjukkan sikap negatif seperti mengeluh dan menyerah ketika kelompok mengalami kesulitan</t>
        </is>
      </c>
      <c r="D38" s="56" t="n"/>
      <c r="E38" s="51" t="n">
        <v>2</v>
      </c>
      <c r="F38" s="134" t="inlineStr">
        <is>
          <t>Saat kelompok menghadapi kesulitan dalam Black Box, termasuk ketika terlambat antre dan tidak mendapat sesi panggilan pertama, [redacted] tidak terlihat mengeluh atau menyerah.</t>
        </is>
      </c>
    </row>
    <row r="39" ht="57" customHeight="1">
      <c r="B39" s="202" t="n"/>
      <c r="C39" s="53" t="inlineStr">
        <is>
          <t>Menunjukkan keseriusan dalam menyelesaikan tantangan yang diberikan kelompok</t>
        </is>
      </c>
      <c r="D39" s="56" t="inlineStr">
        <is>
          <t>tetap fokus &amp; tekun saat menganalisis 10 dokumen yang melelahkan, tanpa shortcut)</t>
        </is>
      </c>
      <c r="E39" s="51" t="n">
        <v>2</v>
      </c>
      <c r="F39" s="134" t="inlineStr">
        <is>
          <t>Saat pengerjaan kasus Black Box berlangsung, [redacted] serius mencatat, mengajukan pertanyaan relevan, dan membantu penjelasan kepada anggota lain.</t>
        </is>
      </c>
    </row>
    <row r="40" ht="43.5" customHeight="1">
      <c r="B40" s="203" t="n"/>
      <c r="C40" s="53" t="inlineStr">
        <is>
          <t>Menunjukkan dorongan untuk membantu kelompok mencapai hasil terbaik</t>
        </is>
      </c>
      <c r="D40" s="56" t="inlineStr">
        <is>
          <t>memberikan solusi yang relevan / solutif; solutif = dipakai)</t>
        </is>
      </c>
      <c r="E40" s="51" t="n">
        <v>2</v>
      </c>
      <c r="F40" s="134" t="inlineStr">
        <is>
          <t>Dalam upaya kelompok menyelesaikan Black Box, [redacted] kuat membantu kelompok melalui pertanyaan nasabah, poin presentasi, dan penjelasan kepada anggota lain.</t>
        </is>
      </c>
    </row>
    <row r="41" ht="43.5" customHeight="1">
      <c r="B41" s="150" t="inlineStr">
        <is>
          <t>Karsa Satya: Being Sensitive to Risk</t>
        </is>
      </c>
      <c r="C41" s="54" t="inlineStr">
        <is>
          <t>Mengidentifikasi &amp; berani mengungkapkan potensi risiko dari solusi yang akan diberikan kepada nasabah</t>
        </is>
      </c>
      <c r="D41" s="56" t="n"/>
      <c r="E41" s="51" t="n">
        <v>1</v>
      </c>
      <c r="F41" s="134" t="inlineStr">
        <is>
          <t>Pada pembahasan risiko solusi Black Box, [redacted] menanyakan jaminan nasabah yang relevan dengan kehati-hatian solusi.</t>
        </is>
      </c>
    </row>
    <row r="42" ht="43.5" customHeight="1">
      <c r="B42" s="202" t="n"/>
      <c r="C42" s="54" t="inlineStr">
        <is>
          <t>Menunjukkan perhatian terhadap keamanan dan kerahasiaan informasi nasabah selama aktivitas</t>
        </is>
      </c>
      <c r="D42" s="56" t="n"/>
      <c r="E42" s="51" t="n">
        <v>1</v>
      </c>
      <c r="F42" s="134" t="inlineStr">
        <is>
          <t>Terkait keamanan dan kerahasiaan informasi nasabah dalam Black Box, tidak terlihat perilaku khusus dari [redacted] yang secara aktif menjaga kerahasiaan; tidak terlihat pula pelanggaran kerahasiaan.</t>
        </is>
      </c>
    </row>
    <row r="43" ht="43.5" customHeight="1">
      <c r="B43" s="202" t="n"/>
      <c r="C43" s="54" t="inlineStr">
        <is>
          <t>Memverifikasi data sebelum digunakan sebagai dasar solusi (menghindari pengunaan asumsi)</t>
        </is>
      </c>
      <c r="D43" s="56" t="n"/>
      <c r="E43" s="51" t="n">
        <v>2</v>
      </c>
      <c r="F43" s="134" t="inlineStr">
        <is>
          <t>Saat data digunakan sebagai dasar solusi Black Box, [redacted] memverifikasi melalui pertanyaan tentang jaminan dan jumlah rumah yang terjual per bulan.</t>
        </is>
      </c>
    </row>
    <row r="44" ht="43.5" customHeight="1">
      <c r="B44" s="203" t="n"/>
      <c r="C44" s="54" t="inlineStr">
        <is>
          <t>Mempertimbangkan aspek kepatuhan atau kesesuaian aturan dalam solusi yang diusulkan</t>
        </is>
      </c>
      <c r="D44" s="56" t="n"/>
      <c r="E44" s="51" t="n">
        <v>1</v>
      </c>
      <c r="F44" s="134" t="inlineStr">
        <is>
          <t>Pada aspek kepatuhan atau kesesuaian aturan dalam Black Box, [redacted] relevan secara tidak langsung melalui pertanyaan tentang jaminan nasabah.</t>
        </is>
      </c>
    </row>
    <row r="45" ht="43.5" customHeight="1">
      <c r="B45" s="150" t="inlineStr">
        <is>
          <t>Karsa Satya: General Observation</t>
        </is>
      </c>
      <c r="C45" s="53" t="inlineStr">
        <is>
          <t>Datang terlambat pada saat sesi</t>
        </is>
      </c>
      <c r="D45" s="56" t="n"/>
      <c r="E45" s="51" t="n">
        <v>2</v>
      </c>
      <c r="F45" s="134" t="inlineStr">
        <is>
          <t>Pada aktivitas Black Box, [redacted] tidak terlambat mengikuti sesi.</t>
        </is>
      </c>
    </row>
    <row r="46" ht="43.5" customHeight="1">
      <c r="B46" s="202" t="n"/>
      <c r="C46" s="53" t="inlineStr">
        <is>
          <t>Berpakaian tidak sesuai ketentuan aturan the organization</t>
        </is>
      </c>
      <c r="D46" s="56" t="n"/>
      <c r="E46" s="51" t="n">
        <v>2</v>
      </c>
      <c r="F46" s="134" t="inlineStr">
        <is>
          <t>Pada aktivitas Black Box, [redacted] berpakaian sesuai ketentuan kegiatan.</t>
        </is>
      </c>
    </row>
    <row r="47" ht="43.5" customHeight="1">
      <c r="B47" s="202" t="n"/>
      <c r="C47" s="53" t="inlineStr">
        <is>
          <t>Melakukan aktivitas lain selama sesi berlangsung</t>
        </is>
      </c>
      <c r="D47" s="56" t="n"/>
      <c r="E47" s="51" t="n">
        <v>2</v>
      </c>
      <c r="F47" s="134" t="inlineStr">
        <is>
          <t>Pada aktivitas Black Box, [redacted] tidak terlihat melakukan aktivitas lain di luar proses kelompok.</t>
        </is>
      </c>
    </row>
    <row r="48" ht="43.5" customHeight="1">
      <c r="B48" s="203" t="n"/>
      <c r="C48" s="53" t="inlineStr">
        <is>
          <t>Mengganggu kelompok lain ketika sesi berlangsung</t>
        </is>
      </c>
      <c r="D48" s="56" t="n"/>
      <c r="E48" s="51" t="n">
        <v>2</v>
      </c>
      <c r="F48" s="134" t="inlineStr">
        <is>
          <t>Pada aktivitas Black Box, [redacted] tidak terlihat mengganggu kelompok lain.</t>
        </is>
      </c>
    </row>
  </sheetData>
  <mergeCells count="15">
    <mergeCell ref="B13:B16"/>
    <mergeCell ref="B5:D5"/>
    <mergeCell ref="B17:B20"/>
    <mergeCell ref="B8:D8"/>
    <mergeCell ref="B4:D4"/>
    <mergeCell ref="B21:B24"/>
    <mergeCell ref="B37:B40"/>
    <mergeCell ref="B12:D12"/>
    <mergeCell ref="B29:B32"/>
    <mergeCell ref="B45:B48"/>
    <mergeCell ref="B25:B28"/>
    <mergeCell ref="B33:B36"/>
    <mergeCell ref="B41:B44"/>
    <mergeCell ref="B6:D6"/>
    <mergeCell ref="B7:D7"/>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tabColor rgb="FFFFD966"/>
    <outlinePr summaryBelow="1" summaryRight="1"/>
    <pageSetUpPr/>
  </sheetPr>
  <dimension ref="A1:M25"/>
  <sheetViews>
    <sheetView topLeftCell="C12" zoomScale="71" zoomScaleNormal="71" workbookViewId="0">
      <selection activeCell="I12" sqref="I12:I16"/>
    </sheetView>
  </sheetViews>
  <sheetFormatPr baseColWidth="8" defaultColWidth="8.85546875" defaultRowHeight="15.75" customHeight="1"/>
  <cols>
    <col width="4.42578125" customWidth="1" style="34" min="1" max="1"/>
    <col width="20.28515625" customWidth="1" style="34" min="2" max="2"/>
    <col width="41.42578125" customWidth="1" style="34" min="3" max="3"/>
    <col width="30.28515625" customWidth="1" style="34" min="4" max="8"/>
    <col width="8.85546875" customWidth="1" style="33" min="9" max="9"/>
    <col width="8.85546875" customWidth="1" style="34" min="10" max="10"/>
    <col width="11.28515625" customWidth="1" style="34" min="11" max="11"/>
    <col width="8.85546875" customWidth="1" style="34" min="12" max="16384"/>
  </cols>
  <sheetData>
    <row r="1"/>
    <row r="2" ht="15.75" customHeight="1">
      <c r="B2" s="36" t="inlineStr">
        <is>
          <t>Day 1: Black Box: Decoding of a Human Life</t>
        </is>
      </c>
      <c r="C2" s="156" t="n"/>
    </row>
    <row r="3"/>
    <row r="4" ht="15.75" customHeight="1">
      <c r="B4" s="160" t="inlineStr">
        <is>
          <t>Cara Pengisian:</t>
        </is>
      </c>
    </row>
    <row r="5" ht="15.75" customHeight="1">
      <c r="B5" s="59" t="inlineStr">
        <is>
          <t>Setiap kelompok akan memberikan penilaian pada kelompok lainnya pada 3 kelompok lainnya di ruangan yang sama</t>
        </is>
      </c>
    </row>
    <row r="6" ht="15.75" customHeight="1">
      <c r="B6" s="59" t="inlineStr">
        <is>
          <t>Penilaian dilakukan menggunakan skala 1–5 pada setiap aspek yang dinilai.</t>
        </is>
      </c>
    </row>
    <row r="7" ht="15.75" customHeight="1">
      <c r="B7" s="59" t="inlineStr">
        <is>
          <t>Berikan penilaian kepada presentasi kelompok lainnya berdasarkan presentasi yang berlangsung</t>
        </is>
      </c>
    </row>
    <row r="8" ht="15.75" customHeight="1">
      <c r="B8" s="4" t="inlineStr">
        <is>
          <t>Berikan penilaian secara objektif dan profesional.</t>
        </is>
      </c>
    </row>
    <row r="9" ht="15.75" customHeight="1">
      <c r="B9" s="4" t="inlineStr">
        <is>
          <t>Panduan deskripsi untuk setiap skala penilaian telah disediakan sebagai acuan dalam memberikan nilai.</t>
        </is>
      </c>
    </row>
    <row r="10"/>
    <row r="11" ht="15.75" customHeight="1">
      <c r="B11" s="40" t="inlineStr">
        <is>
          <t>Kompetensi</t>
        </is>
      </c>
      <c r="C11" s="40" t="inlineStr">
        <is>
          <t>Item Penilaian</t>
        </is>
      </c>
      <c r="D11" s="40" t="n">
        <v>1</v>
      </c>
      <c r="E11" s="40" t="n">
        <v>2</v>
      </c>
      <c r="F11" s="40" t="n">
        <v>3</v>
      </c>
      <c r="G11" s="40" t="n">
        <v>4</v>
      </c>
      <c r="H11" s="60" t="n">
        <v>5</v>
      </c>
      <c r="I11" s="40" t="inlineStr">
        <is>
          <t>Score</t>
        </is>
      </c>
      <c r="K11" s="41" t="inlineStr">
        <is>
          <t>Kompetensi</t>
        </is>
      </c>
      <c r="L11" s="42" t="inlineStr">
        <is>
          <t>Score</t>
        </is>
      </c>
      <c r="M11" s="43" t="inlineStr">
        <is>
          <t>Band (per kegiatan)</t>
        </is>
      </c>
    </row>
    <row r="12" ht="116.25" customHeight="1">
      <c r="B12" s="150" t="inlineStr">
        <is>
          <t>Karsa Rasa: Customer First</t>
        </is>
      </c>
      <c r="C12" s="46" t="inlineStr">
        <is>
          <t>Kelompok menunjukkan pemahaman yang mendalam terhadap kebutuhan, kondisi, dan prioritas nasabah</t>
        </is>
      </c>
      <c r="D12" s="46" t="inlineStr">
        <is>
          <t>Kelompok belum mampu menunjukkan pemahaman terhadap kondisi, kebutuhan, maupun prioritas nasabah. Analisis yang disampaikan masih bersifat umum, tidak relevan, atau tidak didukung informasi dari dokumen dan hasil interaksi dengan nasabah.</t>
        </is>
      </c>
      <c r="E12" s="46" t="inlineStr">
        <is>
          <t>Kelompok mulai menunjukkan upaya memahami kondisi nasabah, namun analisis yang disampaikan masih terbatas, kurang mendalam, dan masih didominasi asumsi yang belum terverifikasi.</t>
        </is>
      </c>
      <c r="F12" s="46" t="inlineStr">
        <is>
          <t>Kelompok mampu mengidentifikasi kebutuhan dan kondisi utama nasabah berdasarkan informasi yang tersedia, namun pemahaman yang ditunjukkan masih pada level dasar dan belum sepenuhnya menggambarkan prioritas nasabah secara menyeluruh.</t>
        </is>
      </c>
      <c r="G12" s="46" t="inlineStr">
        <is>
          <t>Kelompok menunjukkan pemahaman yang baik terhadap kondisi, kebutuhan, dan prioritas nasabah melalui analisis yang relevan dan didukung data atau informasi yang tersedia selama aktivitas.</t>
        </is>
      </c>
      <c r="H12" s="56" t="inlineStr">
        <is>
          <t>Kelompok menunjukkan pemahaman yang mendalam dan menyeluruh terhadap kebutuhan, kondisi, dan prioritas nasabah, serta mampu menangkap konteks dan pertimbangan penting yang memengaruhi kebutuhan nasabah secara tepat dan relevan.</t>
        </is>
      </c>
      <c r="I12" s="129" t="n">
        <v>3</v>
      </c>
      <c r="K12" s="46">
        <f>B12</f>
        <v/>
      </c>
      <c r="L12" s="47">
        <f>IFERROR(AVERAGE(I12:I13),"")</f>
        <v/>
      </c>
      <c r="M12" s="48">
        <f>IFERROR(IF(L12&lt;=1.25,"Sangat Jarang / Tidak Muncul",IF(L12&lt;=2.5,"Kadang-Kadang",IF(L12&lt;=3.75,"Sering Muncul","Konsisten Muncul"))),"")</f>
        <v/>
      </c>
    </row>
    <row r="13" ht="90" customHeight="1">
      <c r="B13" s="203" t="n"/>
      <c r="C13" s="46" t="inlineStr">
        <is>
          <t>Kelompok mampu mengaitkan hasil analisis nasabah dengan solusi yang relevan dan sesuai kebutuhan</t>
        </is>
      </c>
      <c r="D13" s="46" t="inlineStr">
        <is>
          <t>Solusi yang disampaikan tidak menunjukkan keterkaitan dengan hasil analisis kebutuhan maupun kondisi nasabah.</t>
        </is>
      </c>
      <c r="E13" s="46" t="inlineStr">
        <is>
          <t>Kelompok mulai mencoba menghubungkan hasil analisis dengan solusi yang diberikan, namun keterkaitannya masih kurang jelas dan belum sesuai dengan kebutuhan utama nasabah.</t>
        </is>
      </c>
      <c r="F13" s="46" t="inlineStr">
        <is>
          <t>Sebagian solusi yang diberikan sudah cukup sesuai dengan hasil analisis dan kebutuhan nasabah, meskipun masih terdapat rekomendasi yang kurang relevan atau kurang spesifik.</t>
        </is>
      </c>
      <c r="G13" s="46" t="inlineStr">
        <is>
          <t>Kelompok mampu menghubungkan hasil analisis dengan solusi yang relevan, sesuai kebutuhan, dan mempertimbangkan kondisi nasabah secara cukup menyeluruh.</t>
        </is>
      </c>
      <c r="H13" s="56" t="inlineStr">
        <is>
          <t>Kelompok mampu menyusun solusi yang sangat relevan, personal, dan selaras dengan hasil analisis kebutuhan, kondisi, serta prioritas nasabah secara menyeluruh dan terintegrasi.</t>
        </is>
      </c>
      <c r="I13" s="130" t="n">
        <v>3</v>
      </c>
      <c r="K13" s="46">
        <f>B14</f>
        <v/>
      </c>
      <c r="L13" s="47">
        <f>IF(I14="","",I14)</f>
        <v/>
      </c>
      <c r="M13" s="48">
        <f>IFERROR(IF(L13&lt;=1.25,"Sangat Jarang / Tidak Muncul",IF(L13&lt;=2.5,"Kadang-Kadang",IF(L13&lt;=3.75,"Sering Muncul","Konsisten Muncul"))),"")</f>
        <v/>
      </c>
    </row>
    <row r="14" ht="90" customHeight="1">
      <c r="B14" s="150" t="inlineStr">
        <is>
          <t>Karsa Mahira: Relevant to Market</t>
        </is>
      </c>
      <c r="C14" s="46" t="inlineStr">
        <is>
          <t>Kelompok menunjukkan pemahaman terhadap relevansi layanan dan produk the organization dengan kondisi nasabah dan kebutuhan bisnis saat ini</t>
        </is>
      </c>
      <c r="D14" s="46" t="inlineStr">
        <is>
          <t>Kelompok belum mampu menunjukkan keterkaitan antara layanan dan produk the organization dengan kebutuhan nasabah maupun konteks bisnis yang relevan.</t>
        </is>
      </c>
      <c r="E14" s="46" t="inlineStr">
        <is>
          <t>Kelompok menunjukkan pemahaman yang terbatas terhadap penggunaan layanan dan produk the organization, sehingga solusi yang diberikan masih kurang sesuai dengan kondisi nasabah.</t>
        </is>
      </c>
      <c r="F14" s="46" t="inlineStr">
        <is>
          <t>Kelompok mampu menunjukkan penggunaan layanan dan produk the organization yang cukup relevan dengan kebutuhan dasar nasabah dan konteks bisnis saat ini.</t>
        </is>
      </c>
      <c r="G14" s="46" t="inlineStr">
        <is>
          <t>Kelompok menunjukkan pemahaman yang baik terhadap relevansi layanan dan produk the organization dengan kondisi nasabah, serta mampu menjelaskan alasan penggunaan solusi yang dipilih.</t>
        </is>
      </c>
      <c r="H14" s="56" t="inlineStr">
        <is>
          <t>Kelompok menunjukkan pemahaman yang kuat dan strategis terhadap layanan dan produk the organization, serta mampu mengaitkannya secara tepat dengan kebutuhan nasabah, peluang bisnis, dan dinamika kebutuhan pasar saat ini.</t>
        </is>
      </c>
      <c r="I14" s="130" t="n">
        <v>3</v>
      </c>
      <c r="K14" s="46">
        <f>B15</f>
        <v/>
      </c>
      <c r="L14" s="47">
        <f>IF(I15="","",I15)</f>
        <v/>
      </c>
      <c r="M14" s="48">
        <f>IFERROR(IF(L14&lt;=1.25,"Sangat Jarang / Tidak Muncul",IF(L14&lt;=2.5,"Kadang-Kadang",IF(L14&lt;=3.75,"Sering Muncul","Konsisten Muncul"))),"")</f>
        <v/>
      </c>
    </row>
    <row r="15" ht="90" customHeight="1">
      <c r="B15" s="46" t="inlineStr">
        <is>
          <t>Karsa Tumbuh: Growth Oriented</t>
        </is>
      </c>
      <c r="C15" s="46" t="inlineStr">
        <is>
          <t>Kelompok menunjukkan ide atau pendekatan yang adaptif, kreatif, dan relevan dalam penyusunan solusi nasabah</t>
        </is>
      </c>
      <c r="D15" s="46" t="inlineStr">
        <is>
          <t>Kelompok tidak menunjukkan adanya ide, pendekatan baru, atau upaya pengembangan solusi dalam penyusunan rekomendasi kepada nasabah.</t>
        </is>
      </c>
      <c r="E15" s="46" t="inlineStr">
        <is>
          <t>Kelompok mulai menunjukkan upaya menghadirkan ide atau pendekatan baru, namun masih bersifat umum, kurang relevan, atau belum memberikan nilai tambah yang jelas bagi nasabah.</t>
        </is>
      </c>
      <c r="F15" s="46" t="inlineStr">
        <is>
          <t>Kelompok menunjukkan beberapa ide atau pendekatan yang cukup adaptif dan relevan dengan kebutuhan nasabah, meskipun belum sepenuhnya inovatif atau terintegrasi.</t>
        </is>
      </c>
      <c r="G15" s="46" t="inlineStr">
        <is>
          <t>Kelompok menunjukkan ide atau pendekatan yang kreatif, relevan, dan mampu menyesuaikan solusi dengan kondisi serta kebutuhan nasabah yang berkembang.</t>
        </is>
      </c>
      <c r="H15" s="56" t="inlineStr">
        <is>
          <t>Kelompok menunjukkan kemampuan menghadirkan solusi yang inovatif, adaptif, dan bernilai tambah, melalui pendekatan yang relevan dengan kebutuhan nasabah serta dinamika layanan dan kebutuhan pasar yang terus berkembang.</t>
        </is>
      </c>
      <c r="I15" s="130" t="n">
        <v>4</v>
      </c>
      <c r="K15" s="46">
        <f>B16</f>
        <v/>
      </c>
      <c r="L15" s="47">
        <f>IF(I16="","",I16)</f>
        <v/>
      </c>
      <c r="M15" s="48">
        <f>IFERROR(IF(L15&lt;=1.25,"Sangat Jarang / Tidak Muncul",IF(L15&lt;=2.5,"Kadang-Kadang",IF(L15&lt;=3.75,"Sering Muncul","Konsisten Muncul"))),"")</f>
        <v/>
      </c>
    </row>
    <row r="16" ht="119.25" customHeight="1">
      <c r="B16" s="46" t="inlineStr">
        <is>
          <t>Karsa Satya: Being Sensitive to Risk</t>
        </is>
      </c>
      <c r="C16" s="46" t="inlineStr">
        <is>
          <t>Kelompok menunjukkan pertimbangan terhadap potensi risiko dan kesesuaian solusi dalam rekomendasi kepada nasabah</t>
        </is>
      </c>
      <c r="D16" s="46" t="inlineStr">
        <is>
          <t>Kelompok tidak menunjukkan pertimbangan terhadap potensi risiko maupun kesesuaian solusi yang direkomendasikan kepada nasabah.</t>
        </is>
      </c>
      <c r="E16" s="46" t="inlineStr">
        <is>
          <t>Kelompok mulai menunjukkan perhatian terhadap risiko, namun pertimbangan yang disampaikan masih sangat terbatas dan belum mempertimbangkan kondisi nasabah secara memadai.</t>
        </is>
      </c>
      <c r="F16" s="46" t="inlineStr">
        <is>
          <t>Kelompok mampu mengidentifikasi potensi risiko dasar dan menunjukkan pertimbangan terhadap kesesuaian solusi dengan kondisi nasabah.</t>
        </is>
      </c>
      <c r="G16" s="46" t="inlineStr">
        <is>
          <t>Kelompok menunjukkan kehati-hatian dan pertimbangan yang jelas terhadap potensi risiko, kesesuaian solusi, serta dampaknya terhadap kondisi nasabah.</t>
        </is>
      </c>
      <c r="H16" s="56" t="inlineStr">
        <is>
          <t>Kelompok menunjukkan keberanian dalam mengambil keputusan dan menyusun rekomendasi secara tepat dengan mempertimbangkan potensi risiko, kesesuaian solusi, serta dampaknya terhadap kondisi nasabah, disertai kemampuan menjelaskan risiko yang dapat dikelola dan alasan pengambilan keputusan tersebut.</t>
        </is>
      </c>
      <c r="I16" s="131" t="n">
        <v>4</v>
      </c>
    </row>
    <row r="17" ht="15.75" customHeight="1">
      <c r="C17" s="61" t="n"/>
      <c r="D17" s="61" t="n"/>
    </row>
    <row r="18" ht="15.75" customHeight="1">
      <c r="C18" s="62" t="n"/>
      <c r="D18" s="62" t="n"/>
    </row>
    <row r="19" ht="15.75" customHeight="1">
      <c r="C19" s="62" t="n"/>
      <c r="D19" s="62" t="n"/>
    </row>
    <row r="20" ht="15.75" customHeight="1">
      <c r="C20" s="62" t="n"/>
      <c r="D20" s="62" t="n"/>
    </row>
    <row r="21" ht="15.75" customHeight="1">
      <c r="C21" s="62" t="n"/>
      <c r="D21" s="62" t="n"/>
    </row>
    <row r="22" ht="15.75" customHeight="1">
      <c r="C22" s="62" t="n"/>
      <c r="D22" s="62" t="n"/>
    </row>
    <row r="23" ht="15.75" customHeight="1">
      <c r="C23" s="62" t="n"/>
      <c r="D23" s="62" t="n"/>
    </row>
    <row r="24" ht="15.75" customHeight="1">
      <c r="C24" s="62" t="n"/>
      <c r="D24" s="62" t="n"/>
    </row>
    <row r="25" ht="15.75" customHeight="1">
      <c r="C25" s="62" t="n"/>
      <c r="D25" s="62" t="n"/>
    </row>
  </sheetData>
  <mergeCells count="2">
    <mergeCell ref="B12:B13"/>
    <mergeCell ref="B4:D4"/>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FFD966"/>
    <outlinePr summaryBelow="1" summaryRight="1"/>
    <pageSetUpPr/>
  </sheetPr>
  <dimension ref="A1:M26"/>
  <sheetViews>
    <sheetView topLeftCell="D14" zoomScale="73" zoomScaleNormal="73" workbookViewId="0">
      <selection activeCell="I13" sqref="I13:I17"/>
    </sheetView>
  </sheetViews>
  <sheetFormatPr baseColWidth="8" defaultColWidth="26" defaultRowHeight="15.75" customHeight="1"/>
  <cols>
    <col width="4.42578125" customWidth="1" style="34" min="1" max="1"/>
    <col width="20.28515625" customWidth="1" style="34" min="2" max="2"/>
    <col width="41.42578125" customWidth="1" style="34" min="3" max="3"/>
    <col width="30.28515625" customWidth="1" style="34" min="4" max="8"/>
    <col width="27.85546875" customWidth="1" style="33" min="9" max="9"/>
    <col width="8.85546875" customWidth="1" style="34" min="10" max="10"/>
    <col width="13" customWidth="1" style="34" min="11" max="11"/>
    <col width="10.140625" customWidth="1" style="34" min="12" max="12"/>
    <col width="26" customWidth="1" style="34" min="13" max="16384"/>
  </cols>
  <sheetData>
    <row r="1" ht="15.75" customHeight="1">
      <c r="I1" s="30" t="n"/>
    </row>
    <row r="2" ht="15.75" customHeight="1">
      <c r="B2" s="36" t="inlineStr">
        <is>
          <t>Day 1: Black Box: Decoding of a Human Life</t>
        </is>
      </c>
      <c r="C2" s="156" t="n"/>
      <c r="I2" s="30" t="n"/>
    </row>
    <row r="3" ht="15.75" customHeight="1">
      <c r="I3" s="30" t="n"/>
    </row>
    <row r="4" ht="15.75" customHeight="1">
      <c r="B4" s="160" t="inlineStr">
        <is>
          <t>Cara Pengisian:</t>
        </is>
      </c>
      <c r="I4" s="30" t="n"/>
    </row>
    <row r="5" ht="15.75" customHeight="1">
      <c r="B5" s="59" t="inlineStr">
        <is>
          <t>Setiap kelompok akan memberikan penilaian pada kelompok lainnya pada 3 kelompok lainnya di ruangan yang sama</t>
        </is>
      </c>
      <c r="C5" s="160" t="n"/>
      <c r="D5" s="160" t="n"/>
      <c r="I5" s="30" t="n"/>
    </row>
    <row r="6" ht="15.75" customHeight="1">
      <c r="B6" s="59" t="inlineStr">
        <is>
          <t>Penilaian dilakukan menggunakan skala 1–5 pada setiap aspek yang dinilai.</t>
        </is>
      </c>
      <c r="C6" s="160" t="n"/>
      <c r="D6" s="160" t="n"/>
      <c r="I6" s="30" t="n"/>
    </row>
    <row r="7" ht="15.75" customHeight="1">
      <c r="B7" s="59" t="inlineStr">
        <is>
          <t>Berikan penilaian kepada rekan kelompok berdasarkan pengalaman bekerja bersama selama aktivitas berlangsung.</t>
        </is>
      </c>
      <c r="I7" s="30" t="n"/>
    </row>
    <row r="8" ht="15.75" customHeight="1">
      <c r="B8" s="59" t="inlineStr">
        <is>
          <t>Isi penilaian sesuai perilaku yang benar-benar ditunjukkan peserta dalam proses kerja kelompok.</t>
        </is>
      </c>
      <c r="I8" s="30" t="n"/>
    </row>
    <row r="9" ht="15.75" customHeight="1">
      <c r="B9" s="4" t="inlineStr">
        <is>
          <t>Berikan penilaian secara objektif dan profesional.</t>
        </is>
      </c>
      <c r="I9" s="30" t="n"/>
    </row>
    <row r="10" ht="15.75" customHeight="1">
      <c r="B10" s="4" t="inlineStr">
        <is>
          <t>Panduan deskripsi untuk setiap skala penilaian telah disediakan sebagai acuan dalam memberikan nilai.</t>
        </is>
      </c>
      <c r="I10" s="30" t="n"/>
    </row>
    <row r="11" ht="30.75" customHeight="1">
      <c r="I11" s="63" t="inlineStr">
        <is>
          <t>Score
(1-5)</t>
        </is>
      </c>
    </row>
    <row r="12" ht="15.75" customHeight="1">
      <c r="B12" s="40" t="inlineStr">
        <is>
          <t>Kompetensi</t>
        </is>
      </c>
      <c r="C12" s="40" t="inlineStr">
        <is>
          <t>Item Penilaian</t>
        </is>
      </c>
      <c r="D12" s="40" t="n">
        <v>1</v>
      </c>
      <c r="E12" s="40" t="n">
        <v>2</v>
      </c>
      <c r="F12" s="40" t="n">
        <v>3</v>
      </c>
      <c r="G12" s="40" t="n">
        <v>4</v>
      </c>
      <c r="H12" s="40" t="n">
        <v>5</v>
      </c>
      <c r="I12" s="64" t="inlineStr">
        <is>
          <t xml:space="preserve">KELOMPOK: </t>
        </is>
      </c>
      <c r="K12" s="41" t="inlineStr">
        <is>
          <t>Kompetensi</t>
        </is>
      </c>
      <c r="L12" s="42" t="inlineStr">
        <is>
          <t>Score</t>
        </is>
      </c>
      <c r="M12" s="43" t="inlineStr">
        <is>
          <t>Band (per kegiatan)</t>
        </is>
      </c>
    </row>
    <row r="13" ht="107.25" customHeight="1">
      <c r="B13" s="150" t="inlineStr">
        <is>
          <t>Karsa Rasa: Customer First</t>
        </is>
      </c>
      <c r="C13" s="46" t="inlineStr">
        <is>
          <t>Kelompok menunjukkan pemahaman yang mendalam terhadap kebutuhan, kondisi, dan prioritas nasabah</t>
        </is>
      </c>
      <c r="D13" s="46" t="inlineStr">
        <is>
          <t>Kelompok belum mampu menunjukkan pemahaman terhadap kondisi, kebutuhan, maupun prioritas nasabah. Analisis yang disampaikan masih bersifat umum, tidak relevan, atau tidak didukung informasi dari dokumen dan hasil interaksi dengan nasabah.</t>
        </is>
      </c>
      <c r="E13" s="46" t="inlineStr">
        <is>
          <t>Kelompok mulai menunjukkan upaya memahami kondisi nasabah, namun analisis yang disampaikan masih terbatas, kurang mendalam, dan masih didominasi asumsi yang belum terverifikasi.</t>
        </is>
      </c>
      <c r="F13" s="46" t="inlineStr">
        <is>
          <t>Kelompok mampu mengidentifikasi kebutuhan dan kondisi utama nasabah berdasarkan informasi yang tersedia, namun pemahaman yang ditunjukkan masih pada level dasar dan belum sepenuhnya menggambarkan prioritas nasabah secara menyeluruh.</t>
        </is>
      </c>
      <c r="G13" s="46" t="inlineStr">
        <is>
          <t>Kelompok menunjukkan pemahaman yang baik terhadap kondisi, kebutuhan, dan prioritas nasabah melalui analisis yang relevan dan didukung data atau informasi yang tersedia selama aktivitas dalam presentasi/1-pager</t>
        </is>
      </c>
      <c r="H13" s="46" t="inlineStr">
        <is>
          <t>Kelompok menunjukkan pemahaman yang mendalam dan menyeluruh terhadap kebutuhan, kondisi, dan prioritas nasabah, serta mampu menangkap konteks dan pertimbangan penting yang memengaruhi kebutuhan nasabah secara tepat dan relevan.</t>
        </is>
      </c>
      <c r="I13" s="51" t="n">
        <v>3.333333333333333</v>
      </c>
      <c r="K13" s="46">
        <f>B13</f>
        <v/>
      </c>
      <c r="L13" s="47">
        <f>IFERROR(AVERAGE(I13:I14),"")</f>
        <v/>
      </c>
      <c r="M13" s="48">
        <f>IFERROR(IF(L13&lt;=1.25,"Sangat Jarang / Tidak Muncul",IF(L13&lt;=2.5,"Kadang-Kadang",IF(L13&lt;=3.75,"Sering Muncul","Konsisten Muncul"))),"")</f>
        <v/>
      </c>
    </row>
    <row r="14" ht="90" customHeight="1">
      <c r="B14" s="203" t="n"/>
      <c r="C14" s="46" t="inlineStr">
        <is>
          <t>Kelompok mampu mengaitkan hasil analisis nasabah dengan solusi yang relevan dan sesuai kebutuhan</t>
        </is>
      </c>
      <c r="D14" s="46" t="inlineStr">
        <is>
          <t>Solusi yang disampaikan tidak menunjukkan keterkaitan dengan hasil analisis kebutuhan maupun kondisi nasabah.</t>
        </is>
      </c>
      <c r="E14" s="46" t="inlineStr">
        <is>
          <t>Kelompok mulai mencoba menghubungkan hasil analisis dengan solusi yang diberikan, namun keterkaitannya masih kurang jelas dan belum sesuai dengan kebutuhan utama nasabah.</t>
        </is>
      </c>
      <c r="F14" s="46" t="inlineStr">
        <is>
          <t>Sebagian solusi yang diberikan sudah cukup sesuai dengan hasil analisis dan kebutuhan nasabah, meskipun masih terdapat rekomendasi yang kurang relevan atau kurang spesifik.</t>
        </is>
      </c>
      <c r="G14" s="46" t="inlineStr">
        <is>
          <t>Kelompok mampu menghubungkan hasil analisis dengan solusi yang relevan, sesuai kebutuhan, dan mempertimbangkan kondisi nasabah secara cukup menyeluruh.</t>
        </is>
      </c>
      <c r="H14" s="46" t="inlineStr">
        <is>
          <t>Kelompok mampu menyusun solusi yang sangat relevan, personal, dan selaras dengan hasil analisis kebutuhan, kondisi, serta prioritas nasabah secara menyeluruh dan terintegrasi.</t>
        </is>
      </c>
      <c r="I14" s="51" t="n">
        <v>3</v>
      </c>
      <c r="K14" s="46">
        <f>B15</f>
        <v/>
      </c>
      <c r="L14" s="47">
        <f>IF(I15="","",I15)</f>
        <v/>
      </c>
      <c r="M14" s="48">
        <f>IFERROR(IF(L14&lt;=1.25,"Sangat Jarang / Tidak Muncul",IF(L14&lt;=2.5,"Kadang-Kadang",IF(L14&lt;=3.75,"Sering Muncul","Konsisten Muncul"))),"")</f>
        <v/>
      </c>
    </row>
    <row r="15" ht="99" customHeight="1">
      <c r="B15" s="46" t="inlineStr">
        <is>
          <t>Karsa Mahira: Relevant to Market</t>
        </is>
      </c>
      <c r="C15" s="46" t="inlineStr">
        <is>
          <t>Kelompok menunjukkan pemahaman terhadap relevansi layanan dan produk the organization dengan kondisi nasabah dan kebutuhan bisnis saat ini</t>
        </is>
      </c>
      <c r="D15" s="46" t="inlineStr">
        <is>
          <t>Kelompok belum mampu menunjukkan keterkaitan antara layanan dan produk the organization dengan kebutuhan nasabah maupun konteks bisnis yang relevan.</t>
        </is>
      </c>
      <c r="E15" s="46" t="inlineStr">
        <is>
          <t>Kelompok menunjukkan pemahaman yang terbatas terhadap penggunaan layanan dan produk the organization, sehingga solusi yang diberikan masih kurang sesuai dengan kondisi nasabah.</t>
        </is>
      </c>
      <c r="F15" s="46" t="inlineStr">
        <is>
          <t>Kelompok mampu menunjukkan penggunaan layanan dan produk the organization yang cukup relevan dengan kebutuhan dasar nasabah dan konteks bisnis saat ini.</t>
        </is>
      </c>
      <c r="G15" s="46" t="inlineStr">
        <is>
          <t>Kelompok menunjukkan pemahaman yang baik terhadap relevansi layanan dan produk the organization dengan kondisi nasabah, serta mampu menjelaskan alasan penggunaan solusi yang dipilih.</t>
        </is>
      </c>
      <c r="H15" s="46" t="inlineStr">
        <is>
          <t>Kelompok menunjukkan pemahaman yang kuat dan strategis terhadap layanan dan produk the organization, serta mampu mengaitkannya secara tepat dengan kebutuhan nasabah, peluang bisnis, dan dinamika kebutuhan pasar saat ini.</t>
        </is>
      </c>
      <c r="I15" s="51" t="n">
        <v>4</v>
      </c>
      <c r="K15" s="46">
        <f>B16</f>
        <v/>
      </c>
      <c r="L15" s="47">
        <f>IF(I16="","",I16)</f>
        <v/>
      </c>
      <c r="M15" s="48">
        <f>IFERROR(IF(L15&lt;=1.25,"Sangat Jarang / Tidak Muncul",IF(L15&lt;=2.5,"Kadang-Kadang",IF(L15&lt;=3.75,"Sering Muncul","Konsisten Muncul"))),"")</f>
        <v/>
      </c>
    </row>
    <row r="16" ht="105.75" customHeight="1">
      <c r="B16" s="46" t="inlineStr">
        <is>
          <t>Karsa Tumbuh: Growth Oriented</t>
        </is>
      </c>
      <c r="C16" s="46" t="inlineStr">
        <is>
          <t>Kelompok menunjukkan ide atau pendekatan yang adaptif, kreatif, dan relevan dalam penyusunan solusi nasabah</t>
        </is>
      </c>
      <c r="D16" s="46" t="inlineStr">
        <is>
          <t>Kelompok tidak menunjukkan adanya ide, pendekatan baru, atau upaya pengembangan solusi dalam penyusunan rekomendasi kepada nasabah.</t>
        </is>
      </c>
      <c r="E16" s="46" t="inlineStr">
        <is>
          <t>Kelompok mulai menunjukkan upaya menghadirkan ide atau pendekatan baru, namun masih bersifat umum, kurang relevan, atau belum memberikan nilai tambah yang jelas bagi nasabah.</t>
        </is>
      </c>
      <c r="F16" s="46" t="inlineStr">
        <is>
          <t>Kelompok menunjukkan beberapa ide atau pendekatan yang cukup adaptif dan relevan dengan kebutuhan nasabah, meskipun belum sepenuhnya inovatif atau terintegrasi.</t>
        </is>
      </c>
      <c r="G16" s="46" t="inlineStr">
        <is>
          <t>Kelompok menunjukkan ide atau pendekatan yang kreatif, relevan, dan mampu menyesuaikan solusi dengan kondisi serta kebutuhan nasabah yang berkembang.</t>
        </is>
      </c>
      <c r="H16" s="46" t="inlineStr">
        <is>
          <t>Kelompok menunjukkan kemampuan menghadirkan solusi yang inovatif, adaptif, dan bernilai tambah, melalui pendekatan yang relevan dengan kebutuhan nasabah serta dinamika layanan dan kebutuhan pasar yang terus berkembang.</t>
        </is>
      </c>
      <c r="I16" s="51" t="n">
        <v>3</v>
      </c>
      <c r="K16" s="46">
        <f>B17</f>
        <v/>
      </c>
      <c r="L16" s="47">
        <f>IF(I17="","",I17)</f>
        <v/>
      </c>
      <c r="M16" s="48">
        <f>IFERROR(IF(L16&lt;=1.25,"Sangat Jarang / Tidak Muncul",IF(L16&lt;=2.5,"Kadang-Kadang",IF(L16&lt;=3.75,"Sering Muncul","Konsisten Muncul"))),"")</f>
        <v/>
      </c>
    </row>
    <row r="17" ht="127.5" customHeight="1">
      <c r="B17" s="46" t="inlineStr">
        <is>
          <t>Karsa Satya: Being Sensitive to Risk</t>
        </is>
      </c>
      <c r="C17" s="46" t="inlineStr">
        <is>
          <t>Kelompok menunjukkan pertimbangan terhadap potensi risiko dan kesesuaian solusi dalam rekomendasi kepada nasabah</t>
        </is>
      </c>
      <c r="D17" s="46" t="inlineStr">
        <is>
          <t>Kelompok tidak menunjukkan pertimbangan terhadap potensi risiko maupun kesesuaian solusi yang direkomendasikan kepada nasabah.</t>
        </is>
      </c>
      <c r="E17" s="46" t="inlineStr">
        <is>
          <t>Kelompok mulai menunjukkan perhatian terhadap risiko, namun pertimbangan yang disampaikan masih sangat terbatas dan belum mempertimbangkan kondisi nasabah secara memadai.</t>
        </is>
      </c>
      <c r="F17" s="46" t="inlineStr">
        <is>
          <t>Kelompok mampu mengidentifikasi potensi risiko dasar dan menunjukkan pertimbangan terhadap kesesuaian solusi dengan kondisi nasabah.</t>
        </is>
      </c>
      <c r="G17" s="46" t="inlineStr">
        <is>
          <t>Kelompok menunjukkan kehati-hatian dan pertimbangan yang jelas terhadap potensi risiko, kesesuaian solusi, serta dampaknya terhadap kondisi nasabah.</t>
        </is>
      </c>
      <c r="H17" s="46" t="inlineStr">
        <is>
          <t>Kelompok menunjukkan keberanian dalam mengambil keputusan dan menyusun rekomendasi secara tepat dengan mempertimbangkan potensi risiko, kesesuaian solusi, serta dampaknya terhadap kondisi nasabah, disertai kemampuan menjelaskan risiko yang dapat dikelola dan alasan pengambilan keputusan tersebut.</t>
        </is>
      </c>
      <c r="I17" s="51" t="n">
        <v>4</v>
      </c>
    </row>
    <row r="18" ht="15.75" customHeight="1">
      <c r="C18" s="61" t="n"/>
      <c r="D18" s="61" t="n"/>
    </row>
    <row r="19" ht="15.75" customHeight="1">
      <c r="C19" s="62" t="n"/>
      <c r="D19" s="62" t="n"/>
    </row>
    <row r="20" ht="15.75" customHeight="1">
      <c r="C20" s="62" t="n"/>
      <c r="D20" s="62" t="n"/>
    </row>
    <row r="21" ht="15.75" customHeight="1">
      <c r="C21" s="62" t="n"/>
      <c r="D21" s="62" t="n"/>
    </row>
    <row r="22" ht="15.75" customHeight="1">
      <c r="C22" s="62" t="n"/>
      <c r="D22" s="62" t="n"/>
    </row>
    <row r="23" ht="15.75" customHeight="1">
      <c r="C23" s="62" t="n"/>
      <c r="D23" s="62" t="n"/>
    </row>
    <row r="24" ht="15.75" customHeight="1">
      <c r="C24" s="62" t="n"/>
      <c r="D24" s="62" t="n"/>
    </row>
    <row r="25" ht="15.75" customHeight="1">
      <c r="C25" s="62" t="n"/>
      <c r="D25" s="62" t="n"/>
    </row>
    <row r="26" ht="15.75" customHeight="1">
      <c r="C26" s="62" t="n"/>
      <c r="D26" s="62" t="n"/>
    </row>
  </sheetData>
  <mergeCells count="2">
    <mergeCell ref="B13:B14"/>
    <mergeCell ref="B4:D4"/>
  </mergeCells>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FFD966"/>
    <outlinePr summaryBelow="1" summaryRight="1"/>
    <pageSetUpPr/>
  </sheetPr>
  <dimension ref="A1:M18"/>
  <sheetViews>
    <sheetView topLeftCell="E14" zoomScale="71" zoomScaleNormal="71" workbookViewId="0">
      <selection activeCell="I12" sqref="I12:I18"/>
    </sheetView>
  </sheetViews>
  <sheetFormatPr baseColWidth="8" defaultColWidth="26" defaultRowHeight="15.75" customHeight="1"/>
  <cols>
    <col width="4.42578125" customWidth="1" style="4" min="1" max="1"/>
    <col width="20.28515625" customWidth="1" style="4" min="2" max="2"/>
    <col width="41.42578125" customWidth="1" style="4" min="3" max="3"/>
    <col width="32" customWidth="1" style="4" min="4" max="8"/>
    <col width="8.85546875" customWidth="1" style="30" min="9" max="9"/>
    <col width="8.85546875" customWidth="1" style="4" min="10" max="10"/>
    <col width="9.7109375" customWidth="1" style="4" min="11" max="11"/>
    <col width="8.85546875" customWidth="1" style="30" min="12" max="12"/>
    <col width="26" customWidth="1" style="4" min="13" max="16384"/>
  </cols>
  <sheetData>
    <row r="1"/>
    <row r="2" ht="15.75" customHeight="1">
      <c r="B2" s="36" t="inlineStr">
        <is>
          <t>Day 1: Solo Transmission: The Ascendant’s Stand</t>
        </is>
      </c>
      <c r="C2" s="36" t="n"/>
    </row>
    <row r="3"/>
    <row r="4" ht="15.75" customHeight="1">
      <c r="B4" s="151" t="inlineStr">
        <is>
          <t>Cara Pengisian:</t>
        </is>
      </c>
    </row>
    <row r="5" ht="15.75" customHeight="1">
      <c r="B5" s="4" t="inlineStr">
        <is>
          <t>Penilaian dilakukan menggunakan skala 1–5 pada setiap aspek yang dinilai.</t>
        </is>
      </c>
      <c r="C5" s="151" t="n"/>
      <c r="D5" s="151" t="n"/>
    </row>
    <row r="6" ht="15.75" customHeight="1">
      <c r="B6" s="4" t="inlineStr">
        <is>
          <t>Tonton keseluruhan video dan worksheet peserta sebelum memberikan penilaian.</t>
        </is>
      </c>
      <c r="C6" s="151" t="n"/>
      <c r="D6" s="151" t="n"/>
    </row>
    <row r="7" ht="15.75" customHeight="1">
      <c r="B7" s="4" t="inlineStr">
        <is>
          <t>Berikan penilaian berdasarkan isi dan penyampaian yang ditampilkan dalam video dan worksheet</t>
        </is>
      </c>
      <c r="C7" s="151" t="n"/>
      <c r="D7" s="151" t="n"/>
    </row>
    <row r="8" ht="15.75" customHeight="1">
      <c r="B8" s="4" t="inlineStr">
        <is>
          <t>Panduan deskripsi untuk setiap skala penilaian telah disediakan sebagai acuan dalam memberikan nilai.</t>
        </is>
      </c>
    </row>
    <row r="9"/>
    <row r="10" ht="15.75" customHeight="1">
      <c r="B10" s="65" t="inlineStr">
        <is>
          <t>Aspek Penilaian</t>
        </is>
      </c>
      <c r="C10" s="40" t="inlineStr">
        <is>
          <t>Item Penilaian</t>
        </is>
      </c>
      <c r="D10" s="40" t="n">
        <v>1</v>
      </c>
      <c r="E10" s="40" t="n">
        <v>2</v>
      </c>
      <c r="F10" s="40" t="n">
        <v>3</v>
      </c>
      <c r="G10" s="40" t="n">
        <v>4</v>
      </c>
      <c r="H10" s="40" t="n">
        <v>5</v>
      </c>
      <c r="I10" s="40" t="inlineStr">
        <is>
          <t>Score</t>
        </is>
      </c>
      <c r="J10" s="34" t="n"/>
      <c r="K10" s="41" t="inlineStr">
        <is>
          <t>Kompetensi</t>
        </is>
      </c>
      <c r="L10" s="42" t="inlineStr">
        <is>
          <t>Score</t>
        </is>
      </c>
    </row>
    <row r="11" ht="15.75" customHeight="1">
      <c r="B11" s="168" t="inlineStr">
        <is>
          <t>Penilaian Worksheet</t>
        </is>
      </c>
      <c r="C11" s="200" t="n"/>
      <c r="D11" s="200" t="n"/>
      <c r="E11" s="200" t="n"/>
      <c r="F11" s="200" t="n"/>
      <c r="G11" s="200" t="n"/>
      <c r="H11" s="201" t="n"/>
      <c r="I11" s="51" t="n"/>
      <c r="J11" s="34" t="n"/>
      <c r="K11" s="4" t="inlineStr">
        <is>
          <t>WORKSHEET</t>
        </is>
      </c>
      <c r="M11" s="43" t="inlineStr">
        <is>
          <t>Band (per kegiatan)</t>
        </is>
      </c>
    </row>
    <row r="12" ht="107.25" customHeight="1">
      <c r="B12" s="150" t="inlineStr">
        <is>
          <t>Karsa Rasa: Building Partnership</t>
        </is>
      </c>
      <c r="C12" s="46" t="inlineStr">
        <is>
          <t>Peserta menunjukkan pemahaman terhadap potensi, performa, dan kebutuhan pengembangan masing-masing anggota tim dalam penyusunan 9-Grid Talent Matrix</t>
        </is>
      </c>
      <c r="D12" s="46" t="inlineStr">
        <is>
          <t>Pemetaan anggota tim tidak menunjukkan pemahaman terhadap potensi maupun performa individu, serta tidak didukung pertimbangan yang relevan.</t>
        </is>
      </c>
      <c r="E12" s="46" t="inlineStr">
        <is>
          <t>Pemetaan anggota tim mulai menunjukkan pertimbangan terhadap potensi dan performa individu, namun masih sangat umum dan belum menggambarkan kebutuhan pengembangan masing-masing anggota tim.</t>
        </is>
      </c>
      <c r="F12" s="46" t="inlineStr">
        <is>
          <t>Pemetaan anggota tim cukup menggambarkan potensi, performa, dan kebutuhan pengembangan individu, meskipun masih terdapat beberapa analisis yang kurang mendalam atau kurang konsisten.</t>
        </is>
      </c>
      <c r="G12" s="46" t="inlineStr">
        <is>
          <t>Pemetaan anggota tim menunjukkan pemahaman yang jelas terhadap potensi, performa, dan kebutuhan pengembangan masing-masing individu dengan pertimbangan yang relevan.</t>
        </is>
      </c>
      <c r="H12" s="46" t="inlineStr">
        <is>
          <t>Pemetaan anggota tim menunjukkan pemahaman yang mendalam dan menyeluruh terhadap potensi, performa, karakteristik, dan kebutuhan pengembangan masing-masing individu secara objektif dan relevan.</t>
        </is>
      </c>
      <c r="I12" s="51" t="n">
        <v>4</v>
      </c>
      <c r="J12" s="34" t="n"/>
      <c r="K12" s="46">
        <f>B12</f>
        <v/>
      </c>
      <c r="L12" s="51">
        <f>IFERROR(AVERAGE(I12:I13),"")</f>
        <v/>
      </c>
      <c r="M12" s="48">
        <f>IFERROR(IF(L12&lt;=1.25,"Sangat Jarang / Tidak Muncul",IF(L12&lt;=2.5,"Kadang-Kadang",IF(L12&lt;=3.75,"Sering Muncul","Konsisten Muncul"))),"")</f>
        <v/>
      </c>
    </row>
    <row r="13" ht="70.5" customHeight="1">
      <c r="B13" s="203" t="n"/>
      <c r="C13" s="46" t="inlineStr">
        <is>
          <t>Peserta menyusun objective dan action plan yang relevan dengan kebutuhan masing-masing anggota tim serta mendukung perkembangan individu dan tim</t>
        </is>
      </c>
      <c r="D13" s="46" t="inlineStr">
        <is>
          <t>Objective dan action plan yang disusun tidak relevan dengan kebutuhan pengembangan anggota tim dan tidak menunjukkan arah pengembangan yang jelas.</t>
        </is>
      </c>
      <c r="E13" s="46" t="inlineStr">
        <is>
          <t>Objective dan action plan mulai menunjukkan upaya pengembangan individu, namun masih umum, kurang spesifik, dan belum sesuai dengan kebutuhan masing-masing anggota tim.</t>
        </is>
      </c>
      <c r="F13" s="46" t="inlineStr">
        <is>
          <t>Objective dan action plan cukup relevan dengan kebutuhan pengembangan individu, namun masih terdapat beberapa bagian yang belum spesifik atau belum terintegrasi dengan kebutuhan tim.</t>
        </is>
      </c>
      <c r="G13" s="46" t="inlineStr">
        <is>
          <t>Objective dan action plan disusun secara jelas, relevan, dan sesuai dengan kebutuhan pengembangan individu maupun tim.</t>
        </is>
      </c>
      <c r="H13" s="46" t="inlineStr">
        <is>
          <t>Objective dan action plan disusun secara sangat jelas, spesifik, terarah, dan menunjukkan pemahaman yang kuat terhadap kebutuhan pengembangan individu serta kontribusinya terhadap perkembangan tim.</t>
        </is>
      </c>
      <c r="I13" s="51" t="n">
        <v>3</v>
      </c>
      <c r="K13" s="46">
        <f>B14</f>
        <v/>
      </c>
      <c r="L13" s="51">
        <f>IF(I14="","",I14)</f>
        <v/>
      </c>
      <c r="M13" s="48">
        <f>IFERROR(IF(L13&lt;=1.25,"Sangat Jarang / Tidak Muncul",IF(L13&lt;=2.5,"Kadang-Kadang",IF(L13&lt;=3.75,"Sering Muncul","Konsisten Muncul"))),"")</f>
        <v/>
      </c>
    </row>
    <row r="14" ht="85.5" customHeight="1">
      <c r="B14" s="46" t="inlineStr">
        <is>
          <t>Karsa Mahira: Relevant to Market</t>
        </is>
      </c>
      <c r="C14" s="46" t="inlineStr">
        <is>
          <t>Peserta menyusun pengembangan anggota tim yang relevan dengan kebutuhan peran, tantangan bisnis, dan kompetensi yang dibutuhkan the organization</t>
        </is>
      </c>
      <c r="D14" s="46" t="inlineStr">
        <is>
          <t>Rencana pengembangan yang disusun tidak relevan dengan kebutuhan peran maupun kompetensi yang dibutuhkan organisasi.</t>
        </is>
      </c>
      <c r="E14" s="46" t="inlineStr">
        <is>
          <t>Rencana pengembangan mulai menunjukkan keterkaitan dengan kebutuhan peran, namun masih umum dan belum mempertimbangkan kebutuhan bisnis atau kompetensi yang relevan.</t>
        </is>
      </c>
      <c r="F14" s="46" t="inlineStr">
        <is>
          <t>Rencana pengembangan cukup relevan dengan kebutuhan peran dan kompetensi individu, meskipun belum sepenuhnya mempertimbangkan kebutuhan bisnis the organization secara menyeluruh.</t>
        </is>
      </c>
      <c r="G14" s="46" t="inlineStr">
        <is>
          <t>Rencana pengembangan relevan dengan kebutuhan peran, tantangan bisnis, dan kompetensi yang dibutuhkan the organization saat ini.</t>
        </is>
      </c>
      <c r="H14" s="46" t="inlineStr">
        <is>
          <t>Rencana pengembangan menunjukkan pemahaman yang kuat terhadap kebutuhan talenta the organization, tantangan bisnis, serta kompetensi masa depan yang diperlukan organisasi secara strategis dan relevan.</t>
        </is>
      </c>
      <c r="I14" s="51" t="n">
        <v>4</v>
      </c>
    </row>
    <row r="15" ht="15.75" customHeight="1">
      <c r="B15" s="169" t="inlineStr">
        <is>
          <t>Penilaian Video</t>
        </is>
      </c>
      <c r="C15" s="200" t="n"/>
      <c r="D15" s="200" t="n"/>
      <c r="E15" s="200" t="n"/>
      <c r="F15" s="200" t="n"/>
      <c r="G15" s="200" t="n"/>
      <c r="H15" s="201" t="n"/>
      <c r="I15" s="51" t="n"/>
      <c r="K15" s="4" t="inlineStr">
        <is>
          <t>VIDEO</t>
        </is>
      </c>
    </row>
    <row r="16" ht="67.5" customHeight="1">
      <c r="B16" s="66" t="inlineStr">
        <is>
          <t>Karsa Daya: GRIT</t>
        </is>
      </c>
      <c r="C16" s="46" t="inlineStr">
        <is>
          <t>Peserta menyelesaikan dan mengumpulkan seluruh tugas sesuai waktu yang ditentukan</t>
        </is>
      </c>
      <c r="D16" s="46" t="inlineStr">
        <is>
          <t>Tugas tidak dikumpulkan sesuai waktu yang ditentukan</t>
        </is>
      </c>
      <c r="E16" s="66" t="inlineStr">
        <is>
          <t>-</t>
        </is>
      </c>
      <c r="F16" s="66" t="inlineStr">
        <is>
          <t>-</t>
        </is>
      </c>
      <c r="G16" s="66" t="inlineStr">
        <is>
          <t>-</t>
        </is>
      </c>
      <c r="H16" s="46" t="inlineStr">
        <is>
          <t>Tugas dikumpulkan sesuai waktu yang ditentukan</t>
        </is>
      </c>
      <c r="I16" s="51" t="n">
        <v>5</v>
      </c>
      <c r="K16" s="46">
        <f>B16</f>
        <v/>
      </c>
      <c r="L16" s="51">
        <f>IF(I16="","",I16)</f>
        <v/>
      </c>
      <c r="M16" s="48">
        <f>IFERROR(IF(L16&lt;=1.25,"Sangat Jarang / Tidak Muncul",IF(L16&lt;=2.5,"Kadang-Kadang",IF(L16&lt;=3.75,"Sering Muncul","Konsisten Muncul"))),"")</f>
        <v/>
      </c>
    </row>
    <row r="17" ht="67.5" customHeight="1">
      <c r="B17" s="46" t="inlineStr">
        <is>
          <t>Karsa Daya: Navigating Agility</t>
        </is>
      </c>
      <c r="C17" s="46" t="inlineStr">
        <is>
          <t>Peserta mampu menjelaskan keputusan kepemimpinan dengan mempertimbangkan dinamika tim dan tantangan yang dihadapi dalam case study</t>
        </is>
      </c>
      <c r="D17" s="46" t="inlineStr">
        <is>
          <t>Penjelasan keputusan tidak mempertimbangkan dinamika tim maupun tantangan yang terdapat dalam case study.</t>
        </is>
      </c>
      <c r="E17" s="46" t="inlineStr">
        <is>
          <t>Peserta mulai mempertimbangkan kondisi tim dan tantangan yang ada, namun penjelasan yang diberikan masih terbatas dan kurang relevan.</t>
        </is>
      </c>
      <c r="F17" s="46" t="inlineStr">
        <is>
          <t>Peserta cukup mampu menjelaskan keputusan dengan mempertimbangkan beberapa dinamika tim dan tantangan yang dihadapi.</t>
        </is>
      </c>
      <c r="G17" s="46" t="inlineStr">
        <is>
          <t>Peserta mampu menjelaskan keputusan secara relevan dengan mempertimbangkan dinamika tim, kondisi individu, dan tantangan dalam case study.</t>
        </is>
      </c>
      <c r="H17" s="46" t="inlineStr">
        <is>
          <t>Peserta menunjukkan kemampuan yang sangat baik dalam menyesuaikan keputusan kepemimpinan terhadap dinamika tim, tantangan situasi, dan kebutuhan organisasi secara tepat dan adaptif.</t>
        </is>
      </c>
      <c r="I17" s="51" t="n">
        <v>4</v>
      </c>
      <c r="K17" s="46">
        <f>B17</f>
        <v/>
      </c>
      <c r="L17" s="51">
        <f>IF(I17="","",I17)</f>
        <v/>
      </c>
      <c r="M17" s="48">
        <f>IFERROR(IF(L17&lt;=1.25,"Sangat Jarang / Tidak Muncul",IF(L17&lt;=2.5,"Kadang-Kadang",IF(L17&lt;=3.75,"Sering Muncul","Konsisten Muncul"))),"")</f>
        <v/>
      </c>
    </row>
    <row r="18" ht="67.5" customHeight="1">
      <c r="B18" s="46" t="inlineStr">
        <is>
          <t>Karsa Jaya: Excellence in Execution</t>
        </is>
      </c>
      <c r="C18" s="46" t="inlineStr">
        <is>
          <t>Peserta menyampaikan penjelasan secara jelas, terstruktur, dan meyakinkan dalam video yang dibuat</t>
        </is>
      </c>
      <c r="D18" s="46" t="inlineStr">
        <is>
          <t>Penjelasan dalam video tidak jelas, tidak terstruktur, dan sulit dipahami.</t>
        </is>
      </c>
      <c r="E18" s="46" t="inlineStr">
        <is>
          <t>Penjelasan dalam video mulai menunjukkan alur yang cukup jelas, namun masih kurang terstruktur dan kurang meyakinkan.</t>
        </is>
      </c>
      <c r="F18" s="46" t="inlineStr">
        <is>
          <t>Penjelasan dalam video cukup jelas dan terstruktur, meskipun masih terdapat beberapa bagian yang kurang kuat atau kurang konsisten.</t>
        </is>
      </c>
      <c r="G18" s="46" t="inlineStr">
        <is>
          <t>Penjelasan dalam video disampaikan secara jelas, terstruktur, dan mampu mendukung pemahaman terhadap keputusan yang diambil.</t>
        </is>
      </c>
      <c r="H18" s="46" t="inlineStr">
        <is>
          <t>Penjelasan dalam video disampaikan secara sangat jelas, sistematis, meyakinkan, dan menunjukkan kemampuan eksekusi komunikasi yang kuat terhadap stakeholder.</t>
        </is>
      </c>
      <c r="I18" s="51" t="n">
        <v>4</v>
      </c>
      <c r="K18" s="46">
        <f>B18</f>
        <v/>
      </c>
      <c r="L18" s="51">
        <f>IF(I18="","",I18)</f>
        <v/>
      </c>
      <c r="M18" s="48">
        <f>IFERROR(IF(L18&lt;=1.25,"Sangat Jarang / Tidak Muncul",IF(L18&lt;=2.5,"Kadang-Kadang",IF(L18&lt;=3.75,"Sering Muncul","Konsisten Muncul"))),"")</f>
        <v/>
      </c>
    </row>
  </sheetData>
  <mergeCells count="4">
    <mergeCell ref="B12:B13"/>
    <mergeCell ref="B15:H15"/>
    <mergeCell ref="B4:D4"/>
    <mergeCell ref="B11:H11"/>
  </mergeCell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T42"/>
  <sheetViews>
    <sheetView showGridLines="0" zoomScaleNormal="100" workbookViewId="0">
      <pane xSplit="2" ySplit="6" topLeftCell="C24" activePane="bottomRight" state="frozen"/>
      <selection pane="bottomRight" activeCell="D26" sqref="D26"/>
      <selection pane="bottomLeft" activeCell="A7" sqref="A7"/>
      <selection pane="topRight" activeCell="C1" sqref="C1"/>
    </sheetView>
  </sheetViews>
  <sheetFormatPr baseColWidth="8" defaultColWidth="8.7109375" defaultRowHeight="14.45"/>
  <cols>
    <col width="3" customWidth="1" min="1" max="1"/>
    <col width="36" customWidth="1" min="2" max="2"/>
    <col width="14" customWidth="1" min="3" max="3"/>
    <col width="12" customWidth="1" min="4" max="10"/>
    <col width="40" customWidth="1" min="11" max="11"/>
  </cols>
  <sheetData>
    <row r="1"/>
    <row r="2" ht="25.5" customHeight="1">
      <c r="B2" s="170" t="inlineStr">
        <is>
          <t>DAY 1 — KONTRIBUSI KE SKOR TOTAL</t>
        </is>
      </c>
    </row>
    <row r="3">
      <c r="B3" s="67" t="inlineStr">
        <is>
          <t>Peserta:</t>
        </is>
      </c>
      <c r="C3" s="68">
        <f>'REKAP TOTAL (Auto)'!C3</f>
        <v/>
      </c>
      <c r="E3" s="171" t="inlineStr">
        <is>
          <t>Kontribusi = poin yang hari ini sumbang ke skor Karsa di Rekap 3 Hari</t>
        </is>
      </c>
    </row>
    <row r="4"/>
    <row r="5" ht="13.5" customHeight="1">
      <c r="E5" s="172" t="inlineStr">
        <is>
          <t>NILAI KEGIATAN HARI INI (0–100)</t>
        </is>
      </c>
    </row>
    <row r="6" ht="33.75" customHeight="1">
      <c r="B6" s="69" t="inlineStr">
        <is>
          <t>Kompetensi</t>
        </is>
      </c>
      <c r="C6" s="172" t="inlineStr">
        <is>
          <t>Kontribusi
hari ini (poin)</t>
        </is>
      </c>
      <c r="D6" s="70" t="inlineStr">
        <is>
          <t>Launchpad</t>
        </is>
      </c>
      <c r="E6" s="70" t="inlineStr">
        <is>
          <t>Talkshow</t>
        </is>
      </c>
      <c r="F6" s="70" t="inlineStr">
        <is>
          <t>Mission</t>
        </is>
      </c>
      <c r="G6" s="70" t="inlineStr">
        <is>
          <t>Black Box</t>
        </is>
      </c>
      <c r="H6" s="70" t="inlineStr">
        <is>
          <t>Indiv Assignment</t>
        </is>
      </c>
      <c r="I6" s="70" t="inlineStr">
        <is>
          <t>BB Panel</t>
        </is>
      </c>
      <c r="J6" s="70" t="inlineStr">
        <is>
          <t>BB Peer</t>
        </is>
      </c>
      <c r="K6" s="172" t="inlineStr">
        <is>
          <t>Uraian (diisi asesor)</t>
        </is>
      </c>
    </row>
    <row r="7" ht="30" customHeight="1">
      <c r="B7" s="71" t="inlineStr">
        <is>
          <t>Karsa Satya – Being Sensitive to Risk</t>
        </is>
      </c>
      <c r="C7"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(Auto)'!F18*('Day 1 - 4. Black Box'!I19/8*100),0)+IFERROR('REKAP TOTAL (Auto)'!H18*('Day 1 - 5. Panel Black Box'!L16/5*100),0)+IFERROR('REKAP TOTAL (Auto)'!I18*('Day 1 - 5. Peer Black Box'!L15/5*100),0))/(IF(ISNUMBER(IFERROR('Day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7" s="73" t="n"/>
      <c r="E7" s="73" t="n"/>
      <c r="F7" s="73" t="n"/>
      <c r="G7" s="73">
        <f>IFERROR('Day 1 - 4. Black Box'!I19/8*100,"")</f>
        <v/>
      </c>
      <c r="H7" s="73" t="n"/>
      <c r="I7" s="73">
        <f>IFERROR('Day 1 - 5. Panel Black Box'!L16/5*100,"")</f>
        <v/>
      </c>
      <c r="J7" s="73">
        <f>IFERROR('Day 1 - 5. Peer Black Box'!L15/5*100,"")</f>
        <v/>
      </c>
      <c r="K7" s="74" t="n"/>
    </row>
    <row r="8" ht="30" customHeight="1">
      <c r="B8" s="71" t="inlineStr">
        <is>
          <t>Karsa Satya – General Observation</t>
        </is>
      </c>
      <c r="C8"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(Auto)'!C19*('Day 1 - 1. Launchpad'!I12/8*100),0)+IFERROR('REKAP TOTAL (Auto)'!D19*('Day 1 - 2. Talkshow'!I12/8*100),0)+IFERROR('REKAP TOTAL (Auto)'!F19*('Day 1 - 4. Black Box'!I20/8*100),0))/(IF(ISNUMBER(IFERROR('Day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8" s="73">
        <f>IFERROR('Day 1 - 1. Launchpad'!I12/8*100,"")</f>
        <v/>
      </c>
      <c r="E8" s="73">
        <f>IFERROR('Day 1 - 2. Talkshow'!I12/8*100,"")</f>
        <v/>
      </c>
      <c r="F8" s="73" t="n"/>
      <c r="G8" s="73">
        <f>IFERROR('Day 1 - 4. Black Box'!I20/8*100,"")</f>
        <v/>
      </c>
      <c r="H8" s="73" t="n"/>
      <c r="I8" s="73" t="n"/>
      <c r="J8" s="73" t="n"/>
      <c r="K8" s="74" t="n"/>
    </row>
    <row r="9" ht="19.5" customHeight="1">
      <c r="B9" s="75" t="inlineStr">
        <is>
          <t xml:space="preserve">  → Karsa Satya (kontribusi Day 1)</t>
        </is>
      </c>
      <c r="C9" s="76">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(Auto)'!F18*('Day 1 - 4. Black Box'!I19/8*100),0)+IFERROR('REKAP TOTAL (Auto)'!H18*('Day 1 - 5. Panel Black Box'!L16/5*100),0)+IFERROR('REKAP TOTAL (Auto)'!I18*('Day 1 - 5. Peer Black Box'!L15/5*100),0)+IFERROR('REKAP TOTAL (Auto)'!C19*('Day 1 - 1. Launchpad'!I12/8*100),0)+IFERROR('REKAP TOTAL (Auto)'!D19*('Day 1 - 2. Talkshow'!I12/8*100),0)+IFERROR('REKAP TOTAL (Auto)'!F19*('Day 1 - 4. Black Box'!I20/8*100),0))/(IF(ISNUMBER(IFERROR('Day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9" s="77" t="n"/>
      <c r="E9" s="77" t="n"/>
      <c r="F9" s="77" t="n"/>
      <c r="G9" s="77" t="n"/>
      <c r="H9" s="77" t="n"/>
      <c r="I9" s="77" t="n"/>
      <c r="J9" s="77" t="n"/>
      <c r="K9" s="78" t="n"/>
    </row>
    <row r="10" ht="30" customHeight="1">
      <c r="B10" s="71" t="inlineStr">
        <is>
          <t>Karsa Daya – GRIT</t>
        </is>
      </c>
      <c r="C10"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(Auto)'!C20*('Day 1 - 1. Launchpad'!I13/8*100),0)+IFERROR('REKAP TOTAL (Auto)'!D20*('Day 1 - 2. Talkshow'!I13/8*100),0)+IFERROR('REKAP TOTAL (Auto)'!E20*('Day 1 - 3. Mission'!I13/8*100),0)+IFERROR('REKAP TOTAL (Auto)'!F20*('Day 1 - 4. Black Box'!I18/8*100),0)+IFERROR('REKAP TOTAL (Auto)'!G20*('Day 1 - 6. Assignment'!L16/5*100),0))/(IF(ISNUMBER(IFERROR('Day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0" s="73">
        <f>IFERROR('Day 1 - 1. Launchpad'!I13/8*100,"")</f>
        <v/>
      </c>
      <c r="E10" s="73">
        <f>IFERROR('Day 1 - 2. Talkshow'!I13/8*100,"")</f>
        <v/>
      </c>
      <c r="F10" s="73">
        <f>IFERROR('Day 1 - 3. Mission'!I13/8*100,"")</f>
        <v/>
      </c>
      <c r="G10" s="73">
        <f>IFERROR('Day 1 - 4. Black Box'!I18/8*100,"")</f>
        <v/>
      </c>
      <c r="H10" s="73">
        <f>IFERROR('Day 1 - 6. Assignment'!L16/5*100,"")</f>
        <v/>
      </c>
      <c r="I10" s="73" t="n"/>
      <c r="J10" s="73" t="n"/>
      <c r="K10" s="74" t="n"/>
    </row>
    <row r="11" ht="30" customHeight="1">
      <c r="B11" s="71" t="inlineStr">
        <is>
          <t>Karsa Daya – Navigating Agility</t>
        </is>
      </c>
      <c r="C11"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(Auto)'!E21*('Day 1 - 3. Mission'!I13/8*100),0)+IFERROR('REKAP TOTAL (Auto)'!F21*('Day 1 - 4. Black Box'!I18/8*100),0)+IFERROR('REKAP TOTAL (Auto)'!G21*('Day 1 - 6. Assignment'!L17/5*100),0))/(IF(ISNUMBER(IFERROR('Day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1" s="73" t="n"/>
      <c r="E11" s="73" t="n"/>
      <c r="F11" s="73">
        <f>IFERROR('Day 1 - 3. Mission'!I13/8*100,"")</f>
        <v/>
      </c>
      <c r="G11" s="73">
        <f>IFERROR('Day 1 - 4. Black Box'!I18/8*100,"")</f>
        <v/>
      </c>
      <c r="H11" s="73">
        <f>IFERROR('Day 1 - 6. Assignment'!L17/5*100,"")</f>
        <v/>
      </c>
      <c r="I11" s="73" t="n"/>
      <c r="J11" s="73" t="n"/>
      <c r="K11" s="74" t="n"/>
    </row>
    <row r="12" ht="19.5" customHeight="1">
      <c r="B12" s="75" t="inlineStr">
        <is>
          <t xml:space="preserve">  → Karsa Daya (kontribusi Day 1)</t>
        </is>
      </c>
      <c r="C12" s="76">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(Auto)'!C20*('Day 1 - 1. Launchpad'!I13/8*100),0)+IFERROR('REKAP TOTAL (Auto)'!D20*('Day 1 - 2. Talkshow'!I13/8*100),0)+IFERROR('REKAP TOTAL (Auto)'!E20*('Day 1 - 3. Mission'!I13/8*100),0)+IFERROR('REKAP TOTAL (Auto)'!F20*('Day 1 - 4. Black Box'!I18/8*100),0)+IFERROR('REKAP TOTAL (Auto)'!G20*('Day 1 - 6. Assignment'!L16/5*100),0)+IFERROR('REKAP TOTAL (Auto)'!E21*('Day 1 - 3. Mission'!I13/8*100),0)+IFERROR('REKAP TOTAL (Auto)'!F21*('Day 1 - 4. Black Box'!I18/8*100),0)+IFERROR('REKAP TOTAL (Auto)'!G21*('Day 1 - 6. Assignment'!L17/5*100),0))/(IF(ISNUMBER(IFERROR('Day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2" s="77" t="n"/>
      <c r="E12" s="77" t="n"/>
      <c r="F12" s="77" t="n"/>
      <c r="G12" s="77" t="n"/>
      <c r="H12" s="77" t="n"/>
      <c r="I12" s="77" t="n"/>
      <c r="J12" s="77" t="n"/>
      <c r="K12" s="78" t="n"/>
    </row>
    <row r="13" ht="30" customHeight="1">
      <c r="B13" s="71" t="inlineStr">
        <is>
          <t>Karsa Rasa – Customer First</t>
        </is>
      </c>
      <c r="C13" s="7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(Auto)'!F22*('Day 1 - 4. Black Box'!I12/8*100),0)+IFERROR('REKAP TOTAL (Auto)'!H22*('Day 1 - 5. Panel Black Box'!L13/5*100),0)+IFERROR('REKAP TOTAL (Auto)'!I22*('Day 1 - 5. Peer Black Box'!L12/5*100),0))/(IF(ISNUMBER(IFERROR('Day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3" s="73" t="n"/>
      <c r="E13" s="73" t="n"/>
      <c r="F13" s="73" t="n"/>
      <c r="G13" s="73">
        <f>IFERROR('Day 1 - 4. Black Box'!I12/8*100,"")</f>
        <v/>
      </c>
      <c r="H13" s="73" t="n"/>
      <c r="I13" s="73">
        <f>IFERROR('Day 1 - 5. Panel Black Box'!L13/5*100,"")</f>
        <v/>
      </c>
      <c r="J13" s="73">
        <f>IFERROR('Day 1 - 5. Peer Black Box'!L12/5*100,"")</f>
        <v/>
      </c>
      <c r="K13" s="74" t="n"/>
    </row>
    <row r="14" ht="30" customHeight="1">
      <c r="B14" s="71" t="inlineStr">
        <is>
          <t>Karsa Rasa – Building Partnership</t>
        </is>
      </c>
      <c r="C14" s="7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(Auto)'!E23*('Day 1 - 3. Mission'!I14/8*100),0)+IFERROR('REKAP TOTAL (Auto)'!F23*('Day 1 - 4. Black Box'!I13/8*100),0)+IFERROR('REKAP TOTAL (Auto)'!G23*('Day 1 - 6. Assignment'!L12/5*100),0))/(IF(ISNUMBER(IFERROR('Day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4" s="73" t="n"/>
      <c r="E14" s="73" t="n"/>
      <c r="F14" s="73">
        <f>IFERROR('Day 1 - 3. Mission'!I14/8*100,"")</f>
        <v/>
      </c>
      <c r="G14" s="73">
        <f>IFERROR('Day 1 - 4. Black Box'!I13/8*100,"")</f>
        <v/>
      </c>
      <c r="H14" s="73">
        <f>IFERROR('Day 1 - 6. Assignment'!L12/5*100,"")</f>
        <v/>
      </c>
      <c r="I14" s="73" t="n"/>
      <c r="J14" s="73" t="n"/>
      <c r="K14" s="74" t="n"/>
    </row>
    <row r="15" ht="19.5" customHeight="1">
      <c r="B15" s="75" t="inlineStr">
        <is>
          <t xml:space="preserve">  → Karsa Rasa (kontribusi Day 1)</t>
        </is>
      </c>
      <c r="C15" s="76">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(Auto)'!F22*('Day 1 - 4. Black Box'!I12/8*100),0)+IFERROR('REKAP TOTAL (Auto)'!H22*('Day 1 - 5. Panel Black Box'!L13/5*100),0)+IFERROR('REKAP TOTAL (Auto)'!I22*('Day 1 - 5. Peer Black Box'!L12/5*100),0)+IFERROR('REKAP TOTAL (Auto)'!E23*('Day 1 - 3. Mission'!I14/8*100),0)+IFERROR('REKAP TOTAL (Auto)'!F23*('Day 1 - 4. Black Box'!I13/8*100),0)+IFERROR('REKAP TOTAL (Auto)'!G23*('Day 1 - 6. Assignment'!L12/5*100),0))/(IF(ISNUMBER(IFERROR('Day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5" s="77" t="n"/>
      <c r="E15" s="77" t="n"/>
      <c r="F15" s="77" t="n"/>
      <c r="G15" s="77" t="n"/>
      <c r="H15" s="77" t="n"/>
      <c r="I15" s="77" t="n"/>
      <c r="J15" s="77" t="n"/>
      <c r="K15" s="78" t="n"/>
    </row>
    <row r="16" ht="30" customHeight="1">
      <c r="B16" s="71" t="inlineStr">
        <is>
          <t>Karsa Mahira – Being Proactive</t>
        </is>
      </c>
      <c r="C16"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(Auto)'!F24*('Day 1 - 4. Black Box'!I14/8*100),0))/(IF(ISNUMBER(IFERROR('Day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6" s="73" t="n"/>
      <c r="E16" s="73" t="n"/>
      <c r="F16" s="73" t="n"/>
      <c r="G16" s="73">
        <f>IFERROR('Day 1 - 4. Black Box'!I14/8*100,"")</f>
        <v/>
      </c>
      <c r="H16" s="73" t="n"/>
      <c r="I16" s="73" t="n"/>
      <c r="J16" s="73" t="n"/>
      <c r="K16" s="74" t="n"/>
    </row>
    <row r="17" ht="30" customHeight="1">
      <c r="B17" s="71" t="inlineStr">
        <is>
          <t>Karsa Mahira – Relevant to Market</t>
        </is>
      </c>
      <c r="C17"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(Auto)'!F25*('Day 1 - 4. Black Box'!I15/8*100),0)+IFERROR('REKAP TOTAL (Auto)'!G25*('Day 1 - 6. Assignment'!L13/5*100),0)+IFERROR('REKAP TOTAL (Auto)'!H25*('Day 1 - 5. Panel Black Box'!L14/5*100),0)+IFERROR('REKAP TOTAL (Auto)'!I25*('Day 1 - 5. Peer Black Box'!L13/5*100),0))/(IF(ISNUMBER(IFERROR('Day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7" s="73" t="n"/>
      <c r="E17" s="73" t="n"/>
      <c r="F17" s="73" t="n"/>
      <c r="G17" s="73">
        <f>IFERROR('Day 1 - 4. Black Box'!I15/8*100,"")</f>
        <v/>
      </c>
      <c r="H17" s="73">
        <f>IFERROR('Day 1 - 6. Assignment'!L13/5*100,"")</f>
        <v/>
      </c>
      <c r="I17" s="73">
        <f>IFERROR('Day 1 - 5. Panel Black Box'!L14/5*100,"")</f>
        <v/>
      </c>
      <c r="J17" s="73">
        <f>IFERROR('Day 1 - 5. Peer Black Box'!L13/5*100,"")</f>
        <v/>
      </c>
      <c r="K17" s="74" t="n"/>
    </row>
    <row r="18" ht="19.5" customHeight="1">
      <c r="B18" s="75" t="inlineStr">
        <is>
          <t xml:space="preserve">  → Karsa Mahira (kontribusi Day 1)</t>
        </is>
      </c>
      <c r="C18" s="76">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(Auto)'!F24*('Day 1 - 4. Black Box'!I14/8*100),0)+IFERROR('REKAP TOTAL (Auto)'!F25*('Day 1 - 4. Black Box'!I15/8*100),0)+IFERROR('REKAP TOTAL (Auto)'!G25*('Day 1 - 6. Assignment'!L13/5*100),0)+IFERROR('REKAP TOTAL (Auto)'!H25*('Day 1 - 5. Panel Black Box'!L14/5*100),0)+IFERROR('REKAP TOTAL (Auto)'!I25*('Day 1 - 5. Peer Black Box'!L13/5*100),0))/(IF(ISNUMBER(IFERROR('Day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8" s="77" t="n"/>
      <c r="E18" s="77" t="n"/>
      <c r="F18" s="77" t="n"/>
      <c r="G18" s="77" t="n"/>
      <c r="H18" s="77" t="n"/>
      <c r="I18" s="77" t="n"/>
      <c r="J18" s="77" t="n"/>
      <c r="K18" s="78" t="n"/>
    </row>
    <row r="19" ht="30" customHeight="1">
      <c r="B19" s="71" t="inlineStr">
        <is>
          <t>Karsa Tumbuh – Growth Oriented</t>
        </is>
      </c>
      <c r="C19" s="72">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(Auto)'!F26*('Day 1 - 4. Black Box'!I16/8*100),0)+IFERROR('REKAP TOTAL (Auto)'!H26*('Day 1 - 5. Panel Black Box'!L15/5*100),0)+IFERROR('REKAP TOTAL (Auto)'!I26*('Day 1 - 5. Peer Black Box'!L14/5*100),0))/(IF(ISNUMBER(IFERROR('Day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19" s="73" t="n"/>
      <c r="E19" s="73" t="n"/>
      <c r="F19" s="73" t="n"/>
      <c r="G19" s="73">
        <f>IFERROR('Day 1 - 4. Black Box'!I16/8*100,"")</f>
        <v/>
      </c>
      <c r="H19" s="73" t="n"/>
      <c r="I19" s="73">
        <f>IFERROR('Day 1 - 5. Panel Black Box'!L15/5*100,"")</f>
        <v/>
      </c>
      <c r="J19" s="73">
        <f>IFERROR('Day 1 - 5. Peer Black Box'!L14/5*100,"")</f>
        <v/>
      </c>
      <c r="K19" s="74" t="n"/>
    </row>
    <row r="20" ht="19.5" customHeight="1">
      <c r="B20" s="75" t="inlineStr">
        <is>
          <t xml:space="preserve">  → Karsa Tumbuh (kontribusi Day 1)</t>
        </is>
      </c>
      <c r="C20" s="76">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(Auto)'!F26*('Day 1 - 4. Black Box'!I16/8*100),0)+IFERROR('REKAP TOTAL (Auto)'!H26*('Day 1 - 5. Panel Black Box'!L15/5*100),0)+IFERROR('REKAP TOTAL (Auto)'!I26*('Day 1 - 5. Peer Black Box'!L14/5*100),0))/(IF(ISNUMBER(IFERROR('Day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20" s="77" t="n"/>
      <c r="E20" s="77" t="n"/>
      <c r="F20" s="77" t="n"/>
      <c r="G20" s="77" t="n"/>
      <c r="H20" s="77" t="n"/>
      <c r="I20" s="77" t="n"/>
      <c r="J20" s="77" t="n"/>
      <c r="K20" s="78" t="n"/>
    </row>
    <row r="21" ht="30" customHeight="1">
      <c r="B21" s="71" t="inlineStr">
        <is>
          <t>Karsa Jaya – Excellence in Execution</t>
        </is>
      </c>
      <c r="C21" s="72">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(Auto)'!F27*('Day 1 - 4. Black Box'!I17/8*100),0)+IFERROR('REKAP TOTAL (Auto)'!G27*('Day 1 - 6. Assignment'!L18/5*100),0))/(IF(ISNUMBER(IFERROR('Day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1" s="73" t="n"/>
      <c r="E21" s="73" t="n"/>
      <c r="F21" s="73" t="n"/>
      <c r="G21" s="73">
        <f>IFERROR('Day 1 - 4. Black Box'!I17/8*100,"")</f>
        <v/>
      </c>
      <c r="H21" s="73">
        <f>IFERROR('Day 1 - 6. Assignment'!L18/5*100,"")</f>
        <v/>
      </c>
      <c r="I21" s="73" t="n"/>
      <c r="J21" s="73" t="n"/>
      <c r="K21" s="74" t="n"/>
    </row>
    <row r="22" ht="19.5" customHeight="1">
      <c r="B22" s="75" t="inlineStr">
        <is>
          <t xml:space="preserve">  → Karsa Jaya (kontribusi Day 1)</t>
        </is>
      </c>
      <c r="C22" s="76">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(Auto)'!F27*('Day 1 - 4. Black Box'!I17/8*100),0)+IFERROR('REKAP TOTAL (Auto)'!G27*('Day 1 - 6. Assignment'!L18/5*100),0))/(IF(ISNUMBER(IFERROR('Day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2" s="77" t="n"/>
      <c r="E22" s="77" t="n"/>
      <c r="F22" s="77" t="n"/>
      <c r="G22" s="77" t="n"/>
      <c r="H22" s="77" t="n"/>
      <c r="I22" s="77" t="n"/>
      <c r="J22" s="77" t="n"/>
      <c r="K22" s="78" t="n"/>
    </row>
    <row r="23" ht="24" customHeight="1">
      <c r="B23" s="79" t="inlineStr">
        <is>
          <t>NILAI AGREGAT 6 KARSA — kontribusi Day 1</t>
        </is>
      </c>
      <c r="C23" s="80">
        <f>IFERROR(AVERAGE(C9,C12,C15,C18,C20,C22),"")</f>
        <v/>
      </c>
      <c r="D23" s="81" t="n"/>
      <c r="E23" s="81" t="n"/>
      <c r="F23" s="81" t="n"/>
      <c r="G23" s="81" t="n"/>
      <c r="H23" s="81" t="n"/>
      <c r="I23" s="81" t="n"/>
      <c r="J23" s="81" t="n"/>
      <c r="K23" s="78" t="n"/>
    </row>
    <row r="24"/>
    <row r="25" ht="48" customHeight="1">
      <c r="B25" s="173" t="inlineStr">
        <is>
          <t>Kolom 'Kontribusi hari ini' = bagian skor Karsa yang berasal dari kegiatan Day 1 (memakai bobot framework &amp; pembagi global). Jumlah kontribusi Day 1+2+3 tiap Karsa = skor TOTAL di sheet 'Rekap 3 Hari'. Kolom kanan = nilai mentah 0–100 tiap kegiatan hari ini (hijau kuat, merah lemah).</t>
        </is>
      </c>
    </row>
    <row r="26" ht="15" customHeight="1">
      <c r="C26" t="n">
        <v>24.5</v>
      </c>
      <c r="D26" t="n">
        <v>24.5</v>
      </c>
      <c r="E26" t="n">
        <v>7.5</v>
      </c>
      <c r="F26" t="n">
        <v>32</v>
      </c>
      <c r="G26" t="n">
        <v>23.75</v>
      </c>
      <c r="H26" t="n">
        <v>20</v>
      </c>
      <c r="I26" t="n">
        <v>43.75</v>
      </c>
      <c r="J26" t="n">
        <v>25.91666666666667</v>
      </c>
      <c r="K26" t="n">
        <v>20</v>
      </c>
      <c r="L26" t="n">
        <v>45.91666666666667</v>
      </c>
      <c r="M26" t="n">
        <v>11.25</v>
      </c>
      <c r="N26" t="n">
        <v>33.75</v>
      </c>
      <c r="O26" t="n">
        <v>45</v>
      </c>
      <c r="P26" t="n">
        <v>37</v>
      </c>
      <c r="Q26" t="n">
        <v>37</v>
      </c>
      <c r="R26" t="n">
        <v>22.5</v>
      </c>
      <c r="S26" t="n">
        <v>22.5</v>
      </c>
      <c r="T26" t="n">
        <v>37.69444444444445</v>
      </c>
    </row>
    <row r="27">
      <c r="C27" t="n">
        <v>7.5</v>
      </c>
    </row>
    <row r="28">
      <c r="C28" t="n">
        <v>32</v>
      </c>
    </row>
    <row r="29">
      <c r="C29" t="n">
        <v>23.75</v>
      </c>
    </row>
    <row r="30">
      <c r="C30" t="n">
        <v>20</v>
      </c>
    </row>
    <row r="31">
      <c r="C31" t="n">
        <v>43.75</v>
      </c>
    </row>
    <row r="32">
      <c r="C32" t="n">
        <v>25.91666666666667</v>
      </c>
    </row>
    <row r="33">
      <c r="C33" t="n">
        <v>20</v>
      </c>
    </row>
    <row r="34">
      <c r="C34" t="n">
        <v>45.91666666666667</v>
      </c>
    </row>
    <row r="35">
      <c r="C35" t="n">
        <v>11.25</v>
      </c>
    </row>
    <row r="36">
      <c r="C36" t="n">
        <v>33.75</v>
      </c>
    </row>
    <row r="37">
      <c r="C37" t="n">
        <v>45</v>
      </c>
    </row>
    <row r="38">
      <c r="C38" t="n">
        <v>37</v>
      </c>
    </row>
    <row r="39">
      <c r="C39" t="n">
        <v>37</v>
      </c>
    </row>
    <row r="40">
      <c r="C40" t="n">
        <v>22.5</v>
      </c>
    </row>
    <row r="41">
      <c r="C41" t="n">
        <v>22.5</v>
      </c>
    </row>
    <row r="42">
      <c r="C42" t="n">
        <v>37.69444444444445</v>
      </c>
    </row>
  </sheetData>
  <mergeCells count="4">
    <mergeCell ref="E5:J5"/>
    <mergeCell ref="B25:K25"/>
    <mergeCell ref="B2:D2"/>
    <mergeCell ref="E3:K3"/>
  </mergeCells>
  <conditionalFormatting sqref="E7:J23">
    <cfRule type="colorScale" priority="2">
      <colorScale>
        <cfvo type="num" val="0"/>
        <cfvo type="num" val="50"/>
        <cfvo type="num" val="100"/>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FFD966"/>
    <outlinePr summaryBelow="1" summaryRight="1"/>
    <pageSetUpPr/>
  </sheetPr>
  <dimension ref="A1:H21"/>
  <sheetViews>
    <sheetView topLeftCell="A21" zoomScale="74" zoomScaleNormal="74" workbookViewId="0">
      <selection activeCell="F13" sqref="F13:H21"/>
    </sheetView>
  </sheetViews>
  <sheetFormatPr baseColWidth="8" defaultColWidth="8.85546875" defaultRowHeight="15.75" customHeight="1"/>
  <cols>
    <col width="4.42578125" customWidth="1" style="4" min="1" max="1"/>
    <col width="20.28515625" customWidth="1" style="4" min="2" max="2"/>
    <col width="41.42578125" customWidth="1" style="4" min="3" max="3"/>
    <col width="28.28515625" customWidth="1" style="30" min="4" max="7"/>
    <col width="18.42578125" customWidth="1" style="4" min="8" max="8"/>
    <col width="8.85546875" customWidth="1" style="4" min="9" max="16384"/>
  </cols>
  <sheetData>
    <row r="1"/>
    <row r="2" ht="15.75" customHeight="1">
      <c r="B2" s="36" t="inlineStr">
        <is>
          <t>Day 1: Recap</t>
        </is>
      </c>
      <c r="C2" s="36" t="n"/>
    </row>
    <row r="3"/>
    <row r="4" ht="15.75" customHeight="1">
      <c r="B4" s="151" t="inlineStr">
        <is>
          <t>Cara Pengisian:</t>
        </is>
      </c>
    </row>
    <row r="5" ht="15.75" customHeight="1">
      <c r="B5" s="59" t="inlineStr">
        <is>
          <t>Penilaian dilakukan menggunakan skala 1–100 pada setiap Karsa yang dinilai.</t>
        </is>
      </c>
      <c r="C5" s="151" t="n"/>
      <c r="D5" s="151" t="n"/>
    </row>
    <row r="6" ht="15.75" customHeight="1">
      <c r="B6" s="59" t="inlineStr">
        <is>
          <t>Berikan nilai berdasarkan frekuensi, konsistensi, dan konteks kemunculan perilaku peserta sepanjang hari.</t>
        </is>
      </c>
      <c r="C6" s="151" t="n"/>
      <c r="D6" s="151" t="n"/>
    </row>
    <row r="7" ht="15.75" customHeight="1">
      <c r="B7" s="59" t="inlineStr">
        <is>
          <t>Gunakan keseluruhan observasi selama satu hari berlangsung sebagai dasar penilaian, bukan hanya satu momen tertentu.</t>
        </is>
      </c>
      <c r="C7" s="151" t="n"/>
      <c r="D7" s="151" t="n"/>
    </row>
    <row r="8" ht="15.75" customHeight="1">
      <c r="B8" s="59" t="inlineStr">
        <is>
          <t>Pilih rentang nilai yang paling menggambarkan kemunculan perilaku peserta pada masing-masing Karsa. Berikan nilai yang berbeda untuk setiap peserta di kelompok yang Anda observasi</t>
        </is>
      </c>
      <c r="C8" s="151" t="n"/>
      <c r="D8" s="151" t="n"/>
    </row>
    <row r="9" ht="15.75" customHeight="1">
      <c r="B9" s="4" t="inlineStr">
        <is>
          <t>Panduan deskripsi untuk setiap rentang skala penilaian telah disediakan sebagai acuan dalam memberikan nilai.</t>
        </is>
      </c>
    </row>
    <row r="10"/>
    <row r="11"/>
    <row r="12" ht="87.75" customHeight="1">
      <c r="B12" s="40" t="inlineStr">
        <is>
          <t>Kompetensi</t>
        </is>
      </c>
      <c r="C12" s="40" t="inlineStr">
        <is>
          <t>Definisi</t>
        </is>
      </c>
      <c r="D12" s="82" t="inlineStr">
        <is>
          <t>0 - 25
Sangat Jarang/Tidak Muncul
Perilaku tidak muncul sama sekali, atau hanya 1 kali di satu indikator sepanjang hari</t>
        </is>
      </c>
      <c r="E12" s="82" t="inlineStr">
        <is>
          <t>26 - 50
Kadang-Kadang Muncul
Perilaku muncul 2–3 kali, hanya dalam situasi tertentu atau saat didorong orang lain, di 1 atau 2 indikator sepanjang hari</t>
        </is>
      </c>
      <c r="F12" s="82" t="inlineStr">
        <is>
          <t>51 - 75
 Sering Muncul
Perilaku muncul 4–5 kali, secara mandiri dalam beragam konteks sepanjang sesi, di beberapa indikator (lebih dari 2) indikator sepanjang hari</t>
        </is>
      </c>
      <c r="G12" s="83" t="inlineStr">
        <is>
          <t>76 - 100
Konsisten Muncul
Perilaku muncul lebih 5 kali secara mandiri, terlihat alami, konsisten menyebar di hampir semua/seluruh indikator, dan merata di sepanjang hari sesuai dengan konteks situasi</t>
        </is>
      </c>
      <c r="H12" s="47" t="inlineStr">
        <is>
          <t>Bukti Perilaku</t>
        </is>
      </c>
    </row>
    <row r="13" ht="101.25" customHeight="1">
      <c r="B13" s="84" t="inlineStr">
        <is>
          <t>Karsa Satya – Being Sensitive to Risk</t>
        </is>
      </c>
      <c r="C13" s="84" t="inlineStr">
        <is>
          <t>Menunjukkan kepekaan terhadap potensi risiko, kepatuhan terhadap aturan dan prosedur, serta kehati-hatian dalam mengambil keputusan dan menjalankan tindakan. Mampu mempertimbangkan dampak dari keputusan yang diambil, menjaga kepercayaan, serta berani mengungkapkan hal-hal yang tidak sesuai dengan ketentuan atau berpotensi menimbulkan risiko bagi organisasi.</t>
        </is>
      </c>
      <c r="D13" s="85" t="n"/>
      <c r="E13" s="85" t="n"/>
      <c r="F13" s="85" t="n">
        <v>60</v>
      </c>
      <c r="G13" s="85" t="n"/>
      <c r="H13" s="134" t="inlineStr">
        <is>
          <t>[redacted] menunjukkan kehati-hatian melalui pertanyaan tentang jaminan nasabah, target harga, dan jumlah rumah yang terjual per bulan. Ia juga terlihat tertib dalam general observation dan tidak mengganggu kelompok lain.</t>
        </is>
      </c>
    </row>
    <row r="14" ht="101.25" customHeight="1">
      <c r="B14" s="84" t="inlineStr">
        <is>
          <t>Karsa Daya – GRIT</t>
        </is>
      </c>
      <c r="C14" s="84" t="inlineStr">
        <is>
          <t>Menunjukkan ketangguhan, ketekunan, dan konsistensi dalam menyelesaikan tugas maupun menghadapi tantangan. Tetap berupaya mencapai tujuan, menjaga keterlibatan dan kontribusi, serta tidak mudah menyerah ketika menghadapi tekanan, hambatan, atau situasi yang sulit.</t>
        </is>
      </c>
      <c r="D14" s="85" t="n"/>
      <c r="E14" s="85" t="n"/>
      <c r="F14" s="85" t="n">
        <v>75</v>
      </c>
      <c r="G14" s="85" t="n"/>
      <c r="H14" s="134" t="inlineStr">
        <is>
          <t>[redacted] aktif sejak Launchpad hingga Black Box: fokus menyimak, mencatat, membantu pertanyaan nasabah, menyiapkan poin presentasi, dan tidak mengeluh saat kelompok tertinggal call pertama.</t>
        </is>
      </c>
    </row>
    <row r="15" ht="101.25" customHeight="1">
      <c r="B15" s="84" t="inlineStr">
        <is>
          <t>Karsa Daya – Navigating Agility</t>
        </is>
      </c>
      <c r="C15" s="84" t="inlineStr">
        <is>
          <t>Menunjukkan kemampuan beradaptasi terhadap perubahan situasi, tantangan, maupun kebutuhan kerja yang berkembang. Mampu menyesuaikan pendekatan, cara kerja, dan pengambilan keputusan secara cepat dan relevan dalam menghadapi dinamika yang terjadi.</t>
        </is>
      </c>
      <c r="D15" s="85" t="n"/>
      <c r="E15" s="85" t="n"/>
      <c r="F15" s="85" t="n">
        <v>75</v>
      </c>
      <c r="G15" s="85" t="n"/>
      <c r="H15" s="134" t="inlineStr">
        <is>
          <t>[redacted] menyesuaikan kontribusi sesuai kebutuhan tim, termasuk memberi ide pada Mission, membantu pertanyaan phone booth, dan menjelaskan pemahaman kepada MHC, KR, dan YD saat Black Box.</t>
        </is>
      </c>
    </row>
    <row r="16" ht="101.25" customHeight="1">
      <c r="B16" s="84" t="inlineStr">
        <is>
          <t>Karsa Rasa – Customer First</t>
        </is>
      </c>
      <c r="C16" s="84" t="inlineStr">
        <is>
          <t>Menunjukkan kepedulian dan perhatian terhadap kebutuhan, kondisi, serta perspektif pelanggan atau stakeholder dalam proses pengambilan keputusan dan pelaksanaan pekerjaan. Mampu memahami kebutuhan pihak lain dan mempertimbangkannya dalam menentukan solusi, tindakan, maupun prioritas kerja.</t>
        </is>
      </c>
      <c r="D16" s="85" t="n"/>
      <c r="E16" s="85" t="n"/>
      <c r="F16" s="85" t="n"/>
      <c r="G16" s="85" t="n">
        <v>85</v>
      </c>
      <c r="H16" s="134" t="inlineStr">
        <is>
          <t>[redacted] kuat pada Customer First melalui pertanyaan tentang jaminan, target harga, dan jumlah rumah terjual per bulan. Ia juga membantu menjawab panel terkait bunga, joint marketing, dan pengalaman pasar Mojokerto.</t>
        </is>
      </c>
    </row>
    <row r="17" ht="101.25" customHeight="1">
      <c r="B17" s="84" t="inlineStr">
        <is>
          <t>Karsa Rasa – Building Partnership</t>
        </is>
      </c>
      <c r="C17" s="84" t="inlineStr">
        <is>
          <t>Menunjukkan kemampuan membangun hubungan kerja yang positif, kolaboratif, dan saling menghargai dengan berbagai pihak. Mampu melibatkan orang lain dalam proses kerja, menjaga komunikasi yang terbuka, serta membangun keselarasan untuk mencapai tujuan bersama.</t>
        </is>
      </c>
      <c r="D17" s="85" t="n"/>
      <c r="E17" s="85" t="n"/>
      <c r="F17" s="85" t="n"/>
      <c r="G17" s="85" t="n">
        <v>85</v>
      </c>
      <c r="H17" s="134" t="inlineStr">
        <is>
          <t>[redacted] paling aktif memberi ruang partisipasi pada Mission dan membantu menjelaskan pemahaman kepada beberapa anggota saat Black Box. Ia terbuka terhadap masukan dan menjaga kerja kelompok tetap kondusif.</t>
        </is>
      </c>
    </row>
    <row r="18" ht="101.25" customHeight="1">
      <c r="B18" s="84" t="inlineStr">
        <is>
          <t>Karsa Mahira – Being Proactive</t>
        </is>
      </c>
      <c r="C18" s="84" t="inlineStr">
        <is>
          <t>Menunjukkan inisiatif dalam mengambil tindakan, mencari solusi, dan menjalankan pekerjaan tanpa harus menunggu arahan. Mampu melihat kebutuhan atau potensi permasalahan lebih awal serta mengambil langkah yang diperlukan untuk mendukung pencapaian tujuan kerja.</t>
        </is>
      </c>
      <c r="D18" s="85" t="n"/>
      <c r="E18" s="85" t="n"/>
      <c r="F18" s="85" t="n"/>
      <c r="G18" s="85" t="n">
        <v>80</v>
      </c>
      <c r="H18" s="134" t="inlineStr">
        <is>
          <t>[redacted] proaktif mengarahkan pembahasan melalui target harga, jaminan, pertanyaan phone booth, dan poin presentasi. Inisiatifnya muncul di beberapa konteks Day 1.</t>
        </is>
      </c>
    </row>
    <row r="19" ht="101.25" customHeight="1">
      <c r="B19" s="84" t="inlineStr">
        <is>
          <t>Karsa Mahira – Relevant to Market</t>
        </is>
      </c>
      <c r="C19" s="84" t="inlineStr">
        <is>
          <t>Menunjukkan pemahaman terhadap kebutuhan bisnis, perkembangan lingkungan, dan kompetensi yang relevan dengan tantangan organisasi. Mampu menghubungkan solusi, ide, maupun pengembangan yang dilakukan dengan kebutuhan organisasi, pelanggan, dan dinamika pasar yang terus berkembang.</t>
        </is>
      </c>
      <c r="D19" s="85" t="n"/>
      <c r="E19" s="85" t="n"/>
      <c r="F19" s="85" t="n"/>
      <c r="G19" s="85" t="n">
        <v>85</v>
      </c>
      <c r="H19" s="134" t="inlineStr">
        <is>
          <t>[redacted] menunjukkan pengetahuan luas tentang kebutuhan nasabah dan solusi the organization, termasuk pengaitan dengan jaminan, target harga, penjualan rumah, bunga, joint marketing, dan konteks pasar Mojokerto.</t>
        </is>
      </c>
    </row>
    <row r="20" ht="101.25" customHeight="1">
      <c r="B20" s="84" t="inlineStr">
        <is>
          <t>Karsa Tumbuh – Growth Oriented</t>
        </is>
      </c>
      <c r="C20" s="84" t="inlineStr">
        <is>
          <t>Menunjukkan semangat untuk terus belajar, berkembang, dan memperbaiki diri dalam menghadapi perubahan dan tantangan. Mampu terbuka terhadap ide baru, mengembangkan pendekatan yang lebih efektif, serta menghadirkan solusi yang adaptif dan relevan dengan kebutuhan yang berkembang.</t>
        </is>
      </c>
      <c r="D20" s="85" t="n"/>
      <c r="E20" s="85" t="n"/>
      <c r="F20" s="85" t="n"/>
      <c r="G20" s="85" t="n">
        <v>80</v>
      </c>
      <c r="H20" s="134" t="inlineStr">
        <is>
          <t>[redacted] memperdalam kasus melalui pertanyaan yang relevan, mengembangkan ide melalui target harga/jaminan/penjualan rumah, dan menjelaskan informasi kepada anggota lain.</t>
        </is>
      </c>
    </row>
    <row r="21" ht="101.25" customHeight="1">
      <c r="B21" s="84" t="inlineStr">
        <is>
          <t>Karsa Jaya – Excellence in Execution</t>
        </is>
      </c>
      <c r="C21" s="84" t="inlineStr">
        <is>
          <t>Menunjukkan kemampuan mengeksekusi pekerjaan secara terarah, terstruktur, dan berorientasi hasil. Mampu menjaga kualitas pelaksanaan kerja, memastikan tindak lanjut berjalan dengan baik, serta menyelesaikan pekerjaan secara efektif untuk mencapai tujuan dan dampak yang diharapkan.</t>
        </is>
      </c>
      <c r="D21" s="85" t="n"/>
      <c r="E21" s="85" t="n"/>
      <c r="F21" s="85" t="n">
        <v>65</v>
      </c>
      <c r="G21" s="85" t="n"/>
      <c r="H21" s="134" t="inlineStr">
        <is>
          <t>[redacted] membantu poin presentasi, pertanyaan call, dan jawaban panel. Eksekusinya kuat pada kontribusi isi, tetapi bukan pemilik bagian teknis utama dan tidak ada goal setting kolektif yang jelas.</t>
        </is>
      </c>
    </row>
  </sheetData>
  <mergeCells count="1">
    <mergeCell ref="B4:D4"/>
  </mergeCell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DA99E3"/>
    <outlinePr summaryBelow="1" summaryRight="1"/>
    <pageSetUpPr/>
  </sheetPr>
  <dimension ref="A1:J40"/>
  <sheetViews>
    <sheetView topLeftCell="A24" zoomScale="95" zoomScaleNormal="95" workbookViewId="0">
      <selection activeCell="E13" sqref="E13:F32"/>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21.85546875" customWidth="1" style="30" min="5" max="5"/>
    <col width="43.7109375" customWidth="1" style="4" min="6" max="6"/>
    <col width="8.85546875" customWidth="1" style="4" min="7" max="7"/>
    <col width="12.7109375" customWidth="1" style="4" min="8" max="8"/>
    <col width="8.85546875" customWidth="1" style="4" min="9" max="16384"/>
  </cols>
  <sheetData>
    <row r="1"/>
    <row r="2" ht="15.75" customHeight="1">
      <c r="B2" s="36" t="inlineStr">
        <is>
          <t>Day 2: Operation the organization Protect</t>
        </is>
      </c>
      <c r="C2" s="36" t="n"/>
    </row>
    <row r="3"/>
    <row r="4" ht="15.75" customHeight="1">
      <c r="B4" s="36" t="inlineStr">
        <is>
          <t>Cara Pengisian:</t>
        </is>
      </c>
      <c r="C4" s="36" t="n"/>
      <c r="D4" s="36" t="n"/>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63"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75" customHeight="1">
      <c r="B8" s="153" t="inlineStr">
        <is>
          <t>4 Jika terdapat bukti perilaku yang mencerminkan kompetensi lainnya yang tidak ada di lembar observasi, observer diperbolehkan mencantumkannya pada bagian catatan di akhir formulir.</t>
        </is>
      </c>
    </row>
    <row r="9"/>
    <row r="10"/>
    <row r="11" ht="60" customHeight="1">
      <c r="B11" s="40" t="inlineStr">
        <is>
          <t>Kompetensi</t>
        </is>
      </c>
      <c r="C11" s="40" t="inlineStr">
        <is>
          <t>Indikator Perilaku</t>
        </is>
      </c>
      <c r="D11" s="40" t="inlineStr">
        <is>
          <t>Contoh kalimat/perilaku</t>
        </is>
      </c>
      <c r="E11" s="44"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47.25" customHeight="1">
      <c r="B12" s="149" t="n"/>
      <c r="C12" s="200" t="n"/>
      <c r="D12" s="201" t="n"/>
      <c r="E12" s="44" t="n"/>
      <c r="F12" s="149" t="n"/>
      <c r="H12" s="150">
        <f>B13</f>
        <v/>
      </c>
      <c r="I12" s="47">
        <f>IF(COUNT(E13:E16)=0,"",SUM(E13:E16))</f>
        <v/>
      </c>
      <c r="J12" s="48">
        <f>IF(COUNT(E13:E16)=0,"",IF(I12&lt;=2,"Sangat Jarang / Tidak Muncul",IF(I12&lt;=4,"Kadang-Kadang",IF(I12&lt;=6,"Sering Muncul","Konsisten Muncul"))))</f>
        <v/>
      </c>
    </row>
    <row r="13" ht="78.75" customHeight="1">
      <c r="B13" s="174" t="inlineStr">
        <is>
          <t>Karsa Satya:
Being Sensitive to Risk</t>
        </is>
      </c>
      <c r="C13" s="46" t="inlineStr">
        <is>
          <t>Mengidentifikasi potensi risiko dalam rencana atau keputusan.</t>
        </is>
      </c>
      <c r="D13" s="46" t="inlineStr">
        <is>
          <t>Mampu membedah kasus fraud secara mendalam (mencari akar masalah) dan memetakan dampak spesifiknya bagi the organization.</t>
        </is>
      </c>
      <c r="E13" s="51" t="n">
        <v>1</v>
      </c>
      <c r="F13" s="46" t="inlineStr">
        <is>
          <t>Baseline Satya: aktif berkontribusi pada output kampanye fraud-awareness. Kekuatan utamanya bukan analisis risiko formal, tetapi kontribusi kreatifnya tetap membawa pesan anti-fraud.</t>
        </is>
      </c>
      <c r="H13" s="150">
        <f>B17</f>
        <v/>
      </c>
      <c r="I13" s="47">
        <f>IF(COUNT(E17:E20)=0,"",SUM(E17:E20))</f>
        <v/>
      </c>
      <c r="J13" s="48">
        <f>IF(COUNT(E17:E20)=0,"",IF(I13&lt;=2,"Sangat Jarang / Tidak Muncul",IF(I13&lt;=4,"Kadang-Kadang",IF(I13&lt;=6,"Sering Muncul","Konsisten Muncul"))))</f>
        <v/>
      </c>
    </row>
    <row r="14" ht="66" customHeight="1">
      <c r="B14" s="202" t="n"/>
      <c r="C14" s="46" t="inlineStr">
        <is>
          <t>Menganalisis tingkat risiko berdasarkan data, informasi, atau pengalaman sebelumnya</t>
        </is>
      </c>
      <c r="D14" s="46" t="inlineStr">
        <is>
          <t>"Pengalamanku di cabang, modus kayak gini emang sering banget kejadian karena nasabah gampang panik. Jadi ini emang berisiko banget buat kita angkat."</t>
        </is>
      </c>
      <c r="E14" s="51" t="n">
        <v>0</v>
      </c>
      <c r="F14" s="46" t="inlineStr">
        <is>
          <t>Belum ada bukti perilaku eksplisit pada catatan Day 2 yang tersedia untuk indikator ini</t>
        </is>
      </c>
      <c r="H14" s="150">
        <f>B21</f>
        <v/>
      </c>
      <c r="I14" s="47">
        <f>IF(COUNT(E21:E24)=0,"",SUM(E21:E24))</f>
        <v/>
      </c>
      <c r="J14" s="48">
        <f>IF(COUNT(E21:E24)=0,"",IF(I14&lt;=2,"Sangat Jarang / Tidak Muncul",IF(I14&lt;=4,"Kadang-Kadang",IF(I14&lt;=6,"Sering Muncul","Konsisten Muncul"))))</f>
        <v/>
      </c>
    </row>
    <row r="15" ht="48" customHeight="1">
      <c r="B15" s="202" t="n"/>
      <c r="C15" s="46" t="inlineStr">
        <is>
          <t>Memastikan pesan di slides atau jingle sesuai SOP perbankan dan tidak menyesatkan.</t>
        </is>
      </c>
      <c r="D15" s="46" t="inlineStr">
        <is>
          <t>Secara aktif mengoreksi istilah, saran mitigasi, atau lirik di dalam draf agar 100% akurat dengan aturan/prosedur riil bank.</t>
        </is>
      </c>
      <c r="E15" s="51" t="n">
        <v>1</v>
      </c>
      <c r="F15" s="46" t="inlineStr">
        <is>
          <t>Membantu lirik/koreografi dan konsep video yang menjadi media penyampaian pesan fraud-awareness; tidak ada catatan spesifik mengoreksi SOP/ketentuan.</t>
        </is>
      </c>
      <c r="H15" s="150">
        <f>B25</f>
        <v/>
      </c>
      <c r="I15" s="47">
        <f>IF(COUNT(E25:E28)=0,"",SUM(E25:E28))</f>
        <v/>
      </c>
      <c r="J15" s="48">
        <f>IF(COUNT(E25:E28)=0,"",IF(I15&lt;=2,"Sangat Jarang / Tidak Muncul",IF(I15&lt;=4,"Kadang-Kadang",IF(I15&lt;=6,"Sering Muncul","Konsisten Muncul"))))</f>
        <v/>
      </c>
    </row>
    <row r="16" ht="68.25" customHeight="1">
      <c r="B16" s="203" t="n"/>
      <c r="C16" s="46" t="inlineStr">
        <is>
          <t>Menyelaraskan output dengan target audiens.</t>
        </is>
      </c>
      <c r="D16" s="46" t="inlineStr">
        <is>
          <t>Mengevaluasi draf (slides/jingle) untuk memitigasi risiko salah sasaran kampanye.
"Hati-hati, kalau kalimatnya kayak gini bisa bikin orang malah ga kena sasaran."</t>
        </is>
      </c>
      <c r="E16" s="51" t="n">
        <v>1</v>
      </c>
      <c r="F16" s="46" t="inlineStr">
        <is>
          <t>Mengarahkan ide kreatif agar pesan kampanye lebih menarik bagi audiens, termasuk pilihan lagu dan konsep video.</t>
        </is>
      </c>
      <c r="H16" s="150">
        <f>B25</f>
        <v/>
      </c>
      <c r="I16" s="47">
        <f>IF(COUNT(E20:E23)=0,"",SUM(E20:E23))</f>
        <v/>
      </c>
      <c r="J16" s="48">
        <f>IF(COUNT(E17:E20)=0,"",IF(I16&lt;=2,"Sangat Jarang / Tidak Muncul",IF(I16&lt;=4,"Kadang-Kadang",IF(I16&lt;=6,"Sering Muncul","Konsisten Muncul"))))</f>
        <v/>
      </c>
    </row>
    <row r="17" ht="43.5" customHeight="1">
      <c r="B17" s="150" t="inlineStr">
        <is>
          <t>Karsa Jaya:
Excel in Excecution</t>
        </is>
      </c>
      <c r="C17" s="150" t="inlineStr">
        <is>
          <t>Menyusun rencana kerja dengan target waktu dan hasil yang jelas</t>
        </is>
      </c>
      <c r="D17" s="46" t="inlineStr">
        <is>
          <t>Menyepakati pembagian waktu, urutan pengerjaan, dan output yang harus dicapai bersama anggota kelompok.</t>
        </is>
      </c>
      <c r="E17" s="51" t="n">
        <v>1</v>
      </c>
      <c r="F17" s="46" t="inlineStr">
        <is>
          <t>Membantu gerak kerja tim melalui konsep kreatif dan eksekusi video.</t>
        </is>
      </c>
      <c r="H17" s="150">
        <f>B29</f>
        <v/>
      </c>
      <c r="I17" s="47">
        <f>IF(COUNT(E29:E32)=0,"",SUM(E29:E32))</f>
        <v/>
      </c>
      <c r="J17" s="48">
        <f>IF(COUNT(E29:E32)=0,"",IF(I17&lt;=2,"Sangat Jarang / Tidak Muncul",IF(I17&lt;=4,"Kadang-Kadang",IF(I17&lt;=6,"Sering Muncul","Konsisten Muncul"))))</f>
        <v/>
      </c>
    </row>
    <row r="18" ht="47.25" customHeight="1">
      <c r="B18" s="202" t="n"/>
      <c r="C18" s="150" t="inlineStr">
        <is>
          <t>Mendistribusikan tugas secara strategis dan memonitor progres kerja kelompok</t>
        </is>
      </c>
      <c r="D18" s="46" t="inlineStr">
        <is>
          <t>Membagi tugas berdasarkan keahlian anggota, memastikan semua bagian berjalan sesuai rencana.</t>
        </is>
      </c>
      <c r="E18" s="51" t="n">
        <v>0</v>
      </c>
      <c r="F18" s="46" t="inlineStr">
        <is>
          <t>Belum ada bukti perilaku eksplisit pada catatan Day 2 yang tersedia untuk indikator ini</t>
        </is>
      </c>
    </row>
    <row r="19" ht="48" customHeight="1">
      <c r="B19" s="202" t="n"/>
      <c r="C19" s="150" t="inlineStr">
        <is>
          <t>Memberikan masukan yang membangun untuk meningkatkan kualitas output kelompok</t>
        </is>
      </c>
      <c r="D19" s="46" t="inlineStr">
        <is>
          <t>Mengoreksi atau menyarankan perbaikan pada worksheet analisis, jingle atau konsep video secara konstruktif demi hasil akhir yang lebih baik.</t>
        </is>
      </c>
      <c r="E19" s="51" t="n">
        <v>2</v>
      </c>
      <c r="F19" s="46" t="inlineStr">
        <is>
          <t>Memberi saran kreatif kepada Hanief dan ikut memperbaiki output video/jingle.</t>
        </is>
      </c>
    </row>
    <row r="20" ht="50.25" customHeight="1">
      <c r="B20" s="203" t="n"/>
      <c r="C20" s="150" t="inlineStr">
        <is>
          <t>Menyelesaikan bagian sendiri dengan tepat waktu dan kualitas tinggi serta mengajak final check bersama</t>
        </is>
      </c>
      <c r="D20" s="46" t="inlineStr">
        <is>
          <t>Bertanggung jawab pada tugasnya sendiri, dan memastikan semua anggota ikut memastikan hasil akhir siap disampaikan.</t>
        </is>
      </c>
      <c r="E20" s="51" t="n">
        <v>0</v>
      </c>
      <c r="F20" s="46" t="inlineStr">
        <is>
          <t>Belum ada bukti perilaku eksplisit pada catatan Day 2 yang tersedia untuk indikator ini</t>
        </is>
      </c>
    </row>
    <row r="21" ht="36" customHeight="1">
      <c r="B21" s="175" t="inlineStr">
        <is>
          <t>Karsa Mahira: 
Being Proactive</t>
        </is>
      </c>
      <c r="C21" s="86" t="inlineStr">
        <is>
          <t>Mengusulkan cara kerja yang lebih efektif untuk mempersingkat alur kerja</t>
        </is>
      </c>
      <c r="D21" s="53" t="inlineStr">
        <is>
          <t xml:space="preserve"> "Lebih cepat kalau lirik &amp; melodi paralel dikerjakan. jadi kita bagi aja perannya, jangan satu satu gini."</t>
        </is>
      </c>
      <c r="E21" s="51" t="n">
        <v>2</v>
      </c>
      <c r="F21" s="46" t="inlineStr">
        <is>
          <t>Membuat konsep kreatif video; membantu lirik dan koreografi jingle.</t>
        </is>
      </c>
    </row>
    <row r="22" ht="48" customHeight="1">
      <c r="B22" s="202" t="n"/>
      <c r="C22" s="178" t="inlineStr">
        <is>
          <t xml:space="preserve">Menyesuaikan strategi kerja ketika kondisi berubah / tidak sesuai rencana (misalnya kalau melodi tidak ketemu, bisa diganti ke spoken word/rap). </t>
        </is>
      </c>
      <c r="D22" s="53" t="inlineStr">
        <is>
          <t>"Daripada stuck, kita switch pendekatan kesini kali ya? secara kualitas harusnya tetap menarik dan sesuai tujuan."</t>
        </is>
      </c>
      <c r="E22" s="51" t="n">
        <v>2</v>
      </c>
      <c r="F22" s="46" t="inlineStr">
        <is>
          <t>Mengeksplorasi berbagai pilihan lagu bersama RZ dan merevisi lirik secara iteratif saat pendekatan awal belum cukup cocok.</t>
        </is>
      </c>
    </row>
    <row r="23" ht="36" customHeight="1">
      <c r="B23" s="202" t="n"/>
      <c r="C23" s="178" t="inlineStr">
        <is>
          <t xml:space="preserve">Memastikan standar kualitas output sebelum dikirim (cek audio, visibility teks di IG, durasi 1 menit -- sesuai aturan). </t>
        </is>
      </c>
      <c r="D23" s="53" t="inlineStr">
        <is>
          <t>"Coba dilihat dari layar HP, tulisannya kebaca nggak? siapa tau kekecilan"</t>
        </is>
      </c>
      <c r="E23" s="51" t="n">
        <v>2</v>
      </c>
      <c r="F23" s="46" t="inlineStr">
        <is>
          <t>Latihan, take, menggunakan charger HP sebagai properti pengganti tali, dan memberi saran kreatif saat editing.</t>
        </is>
      </c>
    </row>
    <row r="24" ht="53.25" customHeight="1">
      <c r="B24" s="202" t="n"/>
      <c r="C24" s="179" t="inlineStr">
        <is>
          <t>Mengamati dinamika lawan/lingkungan, lalu pivot strategi.</t>
        </is>
      </c>
      <c r="D24" s="53" t="inlineStr">
        <is>
          <t>"Eh kelompok sebelah pake lagu kicau mania, kayaknya kita bisa pake nada dari MBG aja gimana biar easy listening"</t>
        </is>
      </c>
      <c r="E24" s="51" t="n">
        <v>1</v>
      </c>
      <c r="F24" s="46" t="inlineStr">
        <is>
          <t>Kontribusi relevansi audiens terlihat lewat konsep kreatif; strategi praktis target likes lebih dominan pada RZ.</t>
        </is>
      </c>
    </row>
    <row r="25" ht="46.5" customHeight="1">
      <c r="B25" s="150" t="inlineStr">
        <is>
          <t xml:space="preserve">Karsa Rasa:
Building Partnership
</t>
        </is>
      </c>
      <c r="C25" s="87" t="inlineStr">
        <is>
          <t>Mendengarkan dan memahami kesulitan atau kondisi anggota tim lain sebelum menyarankan ide, perbaikan, atau alokasi tugas baru</t>
        </is>
      </c>
      <c r="D25" s="46" t="inlineStr">
        <is>
          <t>Perilaku, mencatat atau menanggapi dan konfirmasi maksud dari pendapat anggota tim</t>
        </is>
      </c>
      <c r="E25" s="51" t="n">
        <v>2</v>
      </c>
      <c r="F25" s="46" t="inlineStr">
        <is>
          <t>Memastikan Iwan dan Yudi memahami peran dalam pembuatan jingle.</t>
        </is>
      </c>
    </row>
    <row r="26" ht="72" customHeight="1">
      <c r="B26" s="202" t="n"/>
      <c r="C26" s="87" t="inlineStr">
        <is>
          <t>Menanggapi perbedaan ide atau pendekatan secara terbuka, mengarahkan diskusi ke solusi yang dapat disepakati bersama</t>
        </is>
      </c>
      <c r="D26" s="46" t="inlineStr">
        <is>
          <t>“Saya setuju itu penting, tapi gimana kalau kita tambahkan juga koreo jentikan jari biar lebih lengkap?”
Terlihat saat peserta menanggapi pendapat berbeda tanpa mendominasi atau menolak mentah-mentah.</t>
        </is>
      </c>
      <c r="E26" s="51" t="n">
        <v>0</v>
      </c>
      <c r="F26" s="46" t="inlineStr">
        <is>
          <t>Belum ada bukti perilaku eksplisit pada catatan Day 2 yang tersedia untuk indikator ini</t>
        </is>
      </c>
    </row>
    <row r="27" ht="48" customHeight="1">
      <c r="B27" s="202" t="n"/>
      <c r="C27" s="87" t="inlineStr">
        <is>
          <t>Aktif berbagi bahan referensi, insight hasil wawancara, atau tools produksi dengan seluruh anggota tim</t>
        </is>
      </c>
      <c r="D27" s="46" t="inlineStr">
        <is>
          <t>"Eh aku habis baca-baca terkait dengan modus-modus dalam Coercion Fraud, kayaknya bisa dipake buat di slides"</t>
        </is>
      </c>
      <c r="E27" s="51" t="n">
        <v>0</v>
      </c>
      <c r="F27" s="46" t="inlineStr">
        <is>
          <t>Belum ada bukti perilaku eksplisit pada catatan Day 2 yang tersedia untuk indikator ini</t>
        </is>
      </c>
    </row>
    <row r="28" ht="48" customHeight="1">
      <c r="B28" s="203" t="n"/>
      <c r="C28" s="88" t="inlineStr">
        <is>
          <t>Menghargai kontribusi dan peran pihak lain dalam keberhasilan bersama</t>
        </is>
      </c>
      <c r="D28" s="57" t="inlineStr">
        <is>
          <t>Mengapresiasi insight / masukan dari anggota lain:
"Bagus-bagus, keren ini konsep kampanye videonya"</t>
        </is>
      </c>
      <c r="E28" s="51" t="n">
        <v>0</v>
      </c>
      <c r="F28" s="57" t="inlineStr">
        <is>
          <t>Belum ada bukti perilaku eksplisit pada catatan Day 2 yang tersedia untuk indikator ini</t>
        </is>
      </c>
    </row>
    <row r="29" ht="47.25" customHeight="1">
      <c r="B29" s="176" t="inlineStr">
        <is>
          <t>Karsa Tumbuh:
Growth Mindset</t>
        </is>
      </c>
      <c r="C29" s="89" t="inlineStr">
        <is>
          <t>Mengusulkan ide kreatif yang segar untuk jingle, lirik, atau konsep video (bukan template yang generik)</t>
        </is>
      </c>
      <c r="D29" s="90" t="inlineStr">
        <is>
          <t>"Gimana kalau melodinya pakai pendekatan parodi lagu yang lagi viral?"</t>
        </is>
      </c>
      <c r="E29" s="51" t="n">
        <v>2</v>
      </c>
      <c r="F29" s="91" t="inlineStr">
        <is>
          <t>Paling kuat dalam eksplorasi ide kreatif: konsep video, pilihan lagu, lirik, koreografi, dan properti.</t>
        </is>
      </c>
    </row>
    <row r="30" ht="47.25" customHeight="1">
      <c r="B30" s="202" t="n"/>
      <c r="C30" s="89" t="inlineStr">
        <is>
          <t xml:space="preserve">Mengeksplorasi referensi &amp; inspirasi baru dari berbagai sumber (medsos, kampanye sebelumnya, tren musik). </t>
        </is>
      </c>
      <c r="D30" s="90" t="inlineStr">
        <is>
          <t>"Aku lihat campaign anti-fraud Singapura, mereka pakai gaya storytelling, kita bisa adaptasi itu pakai gaya the organization."</t>
        </is>
      </c>
      <c r="E30" s="51" t="n">
        <v>2</v>
      </c>
      <c r="F30" s="91" t="inlineStr">
        <is>
          <t>Mengeksplorasi berbagai pilihan lagu yang cocok dengan topik.</t>
        </is>
      </c>
    </row>
    <row r="31" ht="47.25" customHeight="1">
      <c r="B31" s="202" t="n"/>
      <c r="C31" s="89" t="inlineStr">
        <is>
          <t>Bereksperimen dengan pendekatan baru ketika ide pertama kurang cocok / ditolak yang anggota tim lainnya.</t>
        </is>
      </c>
      <c r="D31" s="90" t="inlineStr">
        <is>
          <t>"Kalau pendekatan formal kayak gitu kurang engaging, mungkin kita coba humor atau pendekatan yang lebih nyeleneh?"</t>
        </is>
      </c>
      <c r="E31" s="51" t="n">
        <v>2</v>
      </c>
      <c r="F31" s="91" t="inlineStr">
        <is>
          <t>Melakukan iterasi lagu/lirik bersama RZ sampai konsep lebih cocok.</t>
        </is>
      </c>
    </row>
    <row r="32" ht="47.25" customHeight="1">
      <c r="B32" s="203" t="n"/>
      <c r="C32" s="89" t="inlineStr">
        <is>
          <t>Terbuka &amp; belajar dari feedback rekan tim untuk mengembangkan ide bersama, bukan defensif terhadap kritik.</t>
        </is>
      </c>
      <c r="D32" s="90" t="inlineStr">
        <is>
          <t>"Oh itu kurang cocok ya. Kalau misalnya kita ubah ide yang tadi dengan menambahkan aspek ini gimana?"</t>
        </is>
      </c>
      <c r="E32" s="51" t="n">
        <v>0</v>
      </c>
      <c r="F32" s="91" t="inlineStr">
        <is>
          <t>Belum ada bukti perilaku eksplisit pada catatan Day 2 yang tersedia untuk indikator ini</t>
        </is>
      </c>
    </row>
    <row r="33" ht="15.75" customHeight="1">
      <c r="B33" s="34" t="n"/>
      <c r="C33" s="34" t="n"/>
      <c r="D33" s="34" t="n"/>
      <c r="E33" s="33" t="n"/>
      <c r="F33" s="34" t="n"/>
    </row>
    <row r="34" ht="15.75" customHeight="1">
      <c r="B34" s="34" t="n"/>
      <c r="C34" s="34" t="n"/>
      <c r="D34" s="34" t="n"/>
      <c r="E34" s="33" t="n"/>
      <c r="F34" s="34" t="n"/>
    </row>
    <row r="35" ht="15.75" customHeight="1">
      <c r="B35" s="34" t="n"/>
      <c r="C35" s="34" t="n"/>
      <c r="D35" s="34" t="n"/>
      <c r="E35" s="33" t="n"/>
      <c r="F35" s="34" t="n"/>
    </row>
    <row r="36" ht="15.75" customHeight="1">
      <c r="B36" s="34" t="n"/>
      <c r="C36" s="34" t="n"/>
      <c r="D36" s="34" t="n"/>
      <c r="E36" s="33" t="n"/>
      <c r="F36" s="34" t="n"/>
    </row>
    <row r="37" ht="15.75" customHeight="1">
      <c r="B37" s="34" t="n"/>
      <c r="C37" s="34" t="n"/>
      <c r="D37" s="34" t="n"/>
      <c r="E37" s="33" t="n"/>
      <c r="F37" s="34" t="n"/>
    </row>
    <row r="38" ht="15.75" customHeight="1">
      <c r="B38" s="34" t="n"/>
      <c r="C38" s="34" t="n"/>
      <c r="D38" s="34" t="n"/>
      <c r="E38" s="33" t="n"/>
      <c r="F38" s="34" t="n"/>
    </row>
    <row r="39" ht="15.75" customHeight="1">
      <c r="B39" s="34" t="n"/>
      <c r="C39" s="34" t="n"/>
      <c r="D39" s="34" t="n"/>
      <c r="E39" s="33" t="n"/>
      <c r="F39" s="34" t="n"/>
    </row>
    <row r="40" ht="15.75" customHeight="1">
      <c r="B40" s="34" t="n"/>
      <c r="C40" s="34" t="n"/>
      <c r="D40" s="34" t="n"/>
      <c r="E40" s="33" t="n"/>
      <c r="F40" s="34" t="n"/>
    </row>
  </sheetData>
  <mergeCells count="10">
    <mergeCell ref="B13:B16"/>
    <mergeCell ref="B5:D5"/>
    <mergeCell ref="B17:B20"/>
    <mergeCell ref="B8:D8"/>
    <mergeCell ref="B21:B24"/>
    <mergeCell ref="B29:B32"/>
    <mergeCell ref="B25:B28"/>
    <mergeCell ref="B12:D12"/>
    <mergeCell ref="B7:D7"/>
    <mergeCell ref="B6:D6"/>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A99E3"/>
    <outlinePr summaryBelow="1" summaryRight="1"/>
    <pageSetUpPr/>
  </sheetPr>
  <dimension ref="A1:M28"/>
  <sheetViews>
    <sheetView topLeftCell="F12" zoomScale="63" zoomScaleNormal="63" workbookViewId="0">
      <selection activeCell="I13" sqref="I13:I16"/>
    </sheetView>
  </sheetViews>
  <sheetFormatPr baseColWidth="8" defaultColWidth="26" defaultRowHeight="15.75" customHeight="1"/>
  <cols>
    <col width="4.42578125" customWidth="1" style="4" min="1" max="1"/>
    <col width="20.28515625" customWidth="1" style="4" min="2" max="2"/>
    <col width="35.42578125" customWidth="1" style="4" min="3" max="3"/>
    <col width="35.7109375" customWidth="1" style="4" min="4" max="4"/>
    <col width="34.7109375" customWidth="1" style="4" min="5" max="5"/>
    <col width="36.28515625" customWidth="1" style="4" min="6" max="6"/>
    <col width="44.85546875" customWidth="1" style="4" min="7" max="7"/>
    <col width="39.85546875" customWidth="1" style="4" min="8" max="8"/>
    <col width="20.85546875" customWidth="1" style="30" min="9" max="9"/>
    <col width="8.28515625" customWidth="1" style="4" min="10" max="10"/>
    <col width="14.140625" customWidth="1" style="4" min="11" max="11"/>
    <col width="10.42578125" customWidth="1" style="4" min="12" max="12"/>
    <col width="26" customWidth="1" style="4" min="13" max="16384"/>
  </cols>
  <sheetData>
    <row r="1"/>
    <row r="2" ht="15.75" customHeight="1">
      <c r="B2" s="36" t="inlineStr">
        <is>
          <t>Day 2: Operation the organization Protect - Slides (Assignment Eval)</t>
        </is>
      </c>
      <c r="C2" s="36" t="n"/>
    </row>
    <row r="3"/>
    <row r="4" ht="15.75" customHeight="1">
      <c r="B4" s="151" t="inlineStr">
        <is>
          <t>Cara Pengisian:</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63"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75" customHeight="1">
      <c r="B8" s="153" t="inlineStr">
        <is>
          <t>4 Jika terdapat bukti perilaku yang mencerminkan kompetensi lainnya yang tidak ada di lembar observasi, observer diperbolehkan mencantumkannya pada bagian catatan di akhir formulir.</t>
        </is>
      </c>
    </row>
    <row r="9"/>
    <row r="10"/>
    <row r="11" ht="88.5" customHeight="1">
      <c r="B11" s="92" t="inlineStr">
        <is>
          <t>Aspek Penilaian</t>
        </is>
      </c>
      <c r="C11" s="92" t="inlineStr">
        <is>
          <t>Item Penilaian</t>
        </is>
      </c>
      <c r="D11" s="92" t="n">
        <v>1</v>
      </c>
      <c r="E11" s="92" t="n">
        <v>2</v>
      </c>
      <c r="F11" s="92" t="n">
        <v>3</v>
      </c>
      <c r="G11" s="92" t="n">
        <v>4</v>
      </c>
      <c r="H11" s="93" t="n">
        <v>5</v>
      </c>
      <c r="I11" s="63" t="inlineStr">
        <is>
          <t>Score
(1-5)</t>
        </is>
      </c>
    </row>
    <row r="12" ht="27" customHeight="1">
      <c r="B12" s="177" t="inlineStr">
        <is>
          <t>Penilaian Kualitas Worksheet Slides Fraud</t>
        </is>
      </c>
      <c r="C12" s="204" t="n"/>
      <c r="D12" s="204" t="n"/>
      <c r="E12" s="204" t="n"/>
      <c r="F12" s="204" t="n"/>
      <c r="G12" s="204" t="n"/>
      <c r="H12" s="204" t="n"/>
      <c r="I12" s="64" t="inlineStr">
        <is>
          <t xml:space="preserve">KELOMPOK: </t>
        </is>
      </c>
      <c r="K12" s="41" t="inlineStr">
        <is>
          <t>Kompetensi</t>
        </is>
      </c>
      <c r="L12" s="42" t="inlineStr">
        <is>
          <t>Score</t>
        </is>
      </c>
      <c r="M12" s="43" t="inlineStr">
        <is>
          <t>Band (per kegiatan)</t>
        </is>
      </c>
    </row>
    <row r="13" ht="147" customHeight="1">
      <c r="B13" s="94" t="inlineStr">
        <is>
          <t>Karsa Satya: Being Sensitive to Risk</t>
        </is>
      </c>
      <c r="C13" s="94" t="inlineStr">
        <is>
          <t>Peserta menyajikan analisis yang mendalam dan tajam terkait pola perilaku dan faktor risiko dari kategori fraud yang ditugaskan di dalam slides.</t>
        </is>
      </c>
      <c r="D13" s="94" t="inlineStr">
        <is>
          <t>Analisis sangat dangkal; tidak membedah sama sekali bagaimana pola perilaku pelaku fraud maupun faktor risikonya.</t>
        </is>
      </c>
      <c r="E13" s="94" t="inlineStr">
        <is>
          <t>Mulai menyebutkan faktor risiko, namun masih sangat umum (normatif) dan tidak menyertakan penjelasan tentang pola perilakunya.</t>
        </is>
      </c>
      <c r="F13" s="94" t="inlineStr">
        <is>
          <t>Cukup menggambarkan pola perilaku dan faktor risiko, namun analisisnya kurang tajam dan argumennya terasa standar.</t>
        </is>
      </c>
      <c r="G13" s="94" t="inlineStr">
        <is>
          <t>Analisis jelas dan tajam; membedah pola perilaku (red flags) dan faktor risiko secara spesifik, didukung oleh argumen yang objektif.</t>
        </is>
      </c>
      <c r="H13" s="94" t="inlineStr">
        <is>
          <t>Analisis sangat mendalam dan komprehensif; mengupas tuntas akar masalah, pola perilaku pelaku, dan titik-titik kelemahan (faktor risiko) secara sangat akurat dan tajam.</t>
        </is>
      </c>
      <c r="I13" s="51" t="n">
        <v>4</v>
      </c>
      <c r="K13" s="46">
        <f>B13</f>
        <v/>
      </c>
      <c r="L13" s="47">
        <f>IF(I13="","",I13)</f>
        <v/>
      </c>
      <c r="M13" s="48">
        <f>IFERROR(IF(L13&lt;=1.25,"Sangat Jarang / Tidak Muncul",IF(L13&lt;=2.5,"Kadang-Kadang",IF(L13&lt;=3.75,"Sering Muncul","Konsisten Muncul"))),"")</f>
        <v/>
      </c>
    </row>
    <row r="14" ht="147" customHeight="1">
      <c r="B14" s="94" t="inlineStr">
        <is>
          <t>Karsa Jaya: 
Excel in Execution</t>
        </is>
      </c>
      <c r="C14" s="95" t="inlineStr">
        <is>
          <t>Peserta unggul dalam mengeksekusi penyusunan slides; bergerak cepat untuk menyelesaikan ke-4 elemen pokok secara tuntas, rapi, dan tepat waktu.</t>
        </is>
      </c>
      <c r="D14" s="94" t="inlineStr">
        <is>
          <t>Eksekusi sangat buruk; slides tidak tuntas, berantakan, atau gagal diselesaikan sesuai dengan batas waktu yang ditentukan.</t>
        </is>
      </c>
      <c r="E14" s="94" t="inlineStr">
        <is>
          <t>Eksekusi minimalis/asal jadi; ada elemen pokok (seperti dampak atau faktor risiko) yang dibiarkan kosong, menunjukkan eksekusi yang kurang terarah.</t>
        </is>
      </c>
      <c r="F14" s="94" t="inlineStr">
        <is>
          <t>Eksekusi cukup baik; ke-4 elemen pokok terisi dan selesai, namun penyajiannya terkesan terburu-buru (tata letak kurang rapi atau kalimat terpotong).</t>
        </is>
      </c>
      <c r="G14" s="94" t="inlineStr">
        <is>
          <t>Eksekusi dilakukan secara rapi dan terarah; fokus pada hasil akhir yang berkualitas, ke-4 elemen dibahas dengan utuh dan selesai tepat waktu.</t>
        </is>
      </c>
      <c r="H14" s="94" t="inlineStr">
        <is>
          <t>Eksekusi sangat unggul (excellent); struktur slides tuntas, proporsional, rapi, dan berdampak kuat, menunjukkan penguasaan manajemen hasil kelompok yang luar biasa.</t>
        </is>
      </c>
      <c r="I14" s="51" t="n">
        <v>4</v>
      </c>
      <c r="K14" s="46">
        <f>B14</f>
        <v/>
      </c>
      <c r="L14" s="47">
        <f>IF(I14="","",I14)</f>
        <v/>
      </c>
      <c r="M14" s="48">
        <f>IFERROR(IF(L14&lt;=1.25,"Sangat Jarang / Tidak Muncul",IF(L14&lt;=2.5,"Kadang-Kadang",IF(L14&lt;=3.75,"Sering Muncul","Konsisten Muncul"))),"")</f>
        <v/>
      </c>
    </row>
    <row r="15" ht="148.5" customHeight="1">
      <c r="B15" s="94" t="inlineStr">
        <is>
          <t>Karsa Mahira: Relevant to Market</t>
        </is>
      </c>
      <c r="C15" s="94" t="inlineStr">
        <is>
          <t>Peserta menyusun gambaran umum dan memaparkan dampak awareness fraud secara spesifik, logis, dan relevan dengan konteks bisnis/operasional the organization.</t>
        </is>
      </c>
      <c r="D15" s="94" t="inlineStr">
        <is>
          <t>Gambaran umum keliru dan dampak yang dijabarkan melenceng jauh dari konteks perbankan (tidak relevan dengan operasional the organization).</t>
        </is>
      </c>
      <c r="E15" s="94" t="inlineStr">
        <is>
          <t>Mulai memberikan konteks, namun penjabaran dampaknya sangat teoretis (misal: "bank rugi") tanpa mengaitkan secara spesifik pada operasional the organization.</t>
        </is>
      </c>
      <c r="F15" s="94" t="inlineStr">
        <is>
          <t>Pemaparan dampak cukup relevan dengan lingkungan the organization, namun penyampaian gambaran umumnya masih terasa kaku atau kurang aplikatif.</t>
        </is>
      </c>
      <c r="G15" s="94" t="inlineStr">
        <is>
          <t>Secara relevan dan tepat memaparkan gambaran umum serta dampak fraud (finansial/reputasi/hukum) terhadap bisnis dan operasional internal the organization.</t>
        </is>
      </c>
      <c r="H15" s="94" t="inlineStr">
        <is>
          <t>Sangat tajam dan relevan; menunjukkan pemahaman kuat terhadap ekosistem the organization dengan memaparkan efek domino dari kerugian fraud secara riil bagi operasional bank.</t>
        </is>
      </c>
      <c r="I15" s="51" t="n">
        <v>4</v>
      </c>
      <c r="K15" s="46">
        <f>B15</f>
        <v/>
      </c>
      <c r="L15" s="47">
        <f>IF(I15="","",I15)</f>
        <v/>
      </c>
      <c r="M15" s="48">
        <f>IFERROR(IF(L15&lt;=1.25,"Sangat Jarang / Tidak Muncul",IF(L15&lt;=2.5,"Kadang-Kadang",IF(L15&lt;=3.75,"Sering Muncul","Konsisten Muncul"))),"")</f>
        <v/>
      </c>
    </row>
    <row r="16" ht="141" customHeight="1">
      <c r="B16" s="94" t="inlineStr">
        <is>
          <t>Karsa Rasa: Customer First</t>
        </is>
      </c>
      <c r="C16" s="94" t="inlineStr">
        <is>
          <t>Peserta menyajikan materi slides yang empatik dan berorientasi pada audiens; memastikan informasi mudah dibaca, dicerna, dan dipahami oleh karyawan internal.</t>
        </is>
      </c>
      <c r="D16" s="94" t="inlineStr">
        <is>
          <t>Slides dipenuhi teks yang sangat padat/panjang, menggunakan bahasa teknis yang membingungkan, dan sangat tidak nyaman untuk dibaca audiens.</t>
        </is>
      </c>
      <c r="E16" s="94" t="inlineStr">
        <is>
          <t>Slides mulai dibuat poin-poin, namun formatnya masih sangat kaku, membosankan, dan tidak memprioritaskan kenyamanan audiens yang membaca.</t>
        </is>
      </c>
      <c r="F16" s="94" t="inlineStr">
        <is>
          <t>Slides cukup rapi dan informatif, namun tata letak atau pilihan bahasanya masih membutuhkan sedikit waktu untuk dicerna secara penuh oleh audiens.</t>
        </is>
      </c>
      <c r="G16" s="94" t="inlineStr">
        <is>
          <t>Slides disajikan secara fokus; mengubah paragraf panjang menjadi poin analitis yang user-friendly sehingga memudahkan karyawan the organization menangkap intinya.</t>
        </is>
      </c>
      <c r="H16" s="94" t="inlineStr">
        <is>
          <t>Slides sangat komunikatif dan proaktif memanjakan audiens; desain dan bahasanya sangat empatik, langsung menyoroti inti materi tanpa membingungkan pembaca.</t>
        </is>
      </c>
      <c r="I16" s="51" t="n">
        <v>3</v>
      </c>
      <c r="K16" s="46">
        <f>B16</f>
        <v/>
      </c>
      <c r="L16" s="47">
        <f>IF(I16="","",I16)</f>
        <v/>
      </c>
      <c r="M16" s="48">
        <f>IFERROR(IF(L16&lt;=1.25,"Sangat Jarang / Tidak Muncul",IF(L16&lt;=2.5,"Kadang-Kadang",IF(L16&lt;=3.75,"Sering Muncul","Konsisten Muncul"))),"")</f>
        <v/>
      </c>
    </row>
    <row r="17" ht="15.75" customHeight="1">
      <c r="H17" s="3" t="inlineStr">
        <is>
          <t>TOTAL</t>
        </is>
      </c>
      <c r="I17" s="33">
        <f>SUM(I13:I16)</f>
        <v/>
      </c>
    </row>
    <row r="18" ht="15.75" customHeight="1">
      <c r="I18" s="33" t="n"/>
    </row>
    <row r="19" ht="15.75" customHeight="1">
      <c r="I19" s="33" t="n"/>
    </row>
    <row r="20" ht="15.75" customHeight="1">
      <c r="I20" s="33" t="n"/>
    </row>
    <row r="21" ht="15.75" customHeight="1">
      <c r="I21" s="33" t="n"/>
    </row>
    <row r="22" ht="15.75" customHeight="1">
      <c r="I22" s="33" t="n"/>
    </row>
    <row r="23" ht="15.75" customHeight="1">
      <c r="I23" s="33" t="n"/>
    </row>
    <row r="24" ht="15.75" customHeight="1">
      <c r="I24" s="33" t="n"/>
    </row>
    <row r="25" ht="15.75" customHeight="1">
      <c r="I25" s="33" t="n"/>
    </row>
    <row r="26" ht="15.75" customHeight="1">
      <c r="I26" s="33" t="n"/>
    </row>
    <row r="27" ht="15.75" customHeight="1">
      <c r="I27" s="33" t="n"/>
    </row>
    <row r="28" ht="15.75" customHeight="1">
      <c r="I28" s="33" t="n"/>
    </row>
  </sheetData>
  <mergeCells count="6">
    <mergeCell ref="B5:D5"/>
    <mergeCell ref="B8:D8"/>
    <mergeCell ref="B12:H12"/>
    <mergeCell ref="B4:D4"/>
    <mergeCell ref="B7:D7"/>
    <mergeCell ref="B6:D6"/>
  </mergeCells>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A99E3"/>
    <outlinePr summaryBelow="1" summaryRight="1"/>
    <pageSetUpPr/>
  </sheetPr>
  <dimension ref="A1:J42"/>
  <sheetViews>
    <sheetView topLeftCell="A18" zoomScale="86" zoomScaleNormal="86" workbookViewId="0">
      <selection activeCell="E12" sqref="E12:F19"/>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19.42578125" customWidth="1" style="30" min="5" max="5"/>
    <col width="43.7109375" customWidth="1" style="4" min="6" max="6"/>
    <col width="9.140625" customWidth="1" style="4" min="7" max="7"/>
    <col width="8.85546875" customWidth="1" style="4" min="8" max="16384"/>
  </cols>
  <sheetData>
    <row r="1"/>
    <row r="2" ht="15.75" customHeight="1">
      <c r="B2" s="36" t="inlineStr">
        <is>
          <t>Day 2: Transmission: The Guardian’s Intel</t>
        </is>
      </c>
      <c r="C2" s="36" t="n"/>
    </row>
    <row r="3"/>
    <row r="4" ht="15.75" customHeight="1">
      <c r="B4" s="36" t="inlineStr">
        <is>
          <t>Cara Pengisian:</t>
        </is>
      </c>
      <c r="C4" s="36" t="n"/>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41.25"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 customHeight="1">
      <c r="B8" s="153" t="inlineStr">
        <is>
          <t>4 Jika terdapat bukti perilaku yang mencerminkan kompetensi lainnya yang tidak ada di lembar observasi, observer diperbolehkan mencantumkannya pada bagian catatan di akhir formulir.</t>
        </is>
      </c>
    </row>
    <row r="9"/>
    <row r="10" ht="63" customHeight="1">
      <c r="B10" s="40" t="inlineStr">
        <is>
          <t>Kompetensi</t>
        </is>
      </c>
      <c r="C10" s="40" t="inlineStr">
        <is>
          <t>Indikator Perilaku</t>
        </is>
      </c>
      <c r="D10" s="60" t="inlineStr">
        <is>
          <t>Contoh kalimat/perilaku</t>
        </is>
      </c>
      <c r="E10" s="52" t="inlineStr">
        <is>
          <t>Score
0 = Tidak terobservasi
1 = Terobservasi sebagian
2 = Terobservasi penuh (konsisten)</t>
        </is>
      </c>
      <c r="F10" s="96" t="inlineStr">
        <is>
          <t>Bukti Perilaku</t>
        </is>
      </c>
      <c r="H10" s="41" t="inlineStr">
        <is>
          <t>Kompetensi</t>
        </is>
      </c>
      <c r="I10" s="42" t="inlineStr">
        <is>
          <t>Score</t>
        </is>
      </c>
      <c r="J10" s="43" t="inlineStr">
        <is>
          <t>Band (per kegiatan)</t>
        </is>
      </c>
    </row>
    <row r="11" ht="38.25" customHeight="1">
      <c r="B11" s="149" t="n"/>
      <c r="C11" s="200" t="n"/>
      <c r="D11" s="201" t="n"/>
      <c r="E11" s="44" t="n"/>
      <c r="F11" s="149" t="n"/>
      <c r="H11" s="150">
        <f>B12</f>
        <v/>
      </c>
      <c r="I11" s="47">
        <f>IF(COUNT(E12:E15)=0,"",SUM(E12:E15))</f>
        <v/>
      </c>
      <c r="J11" s="48">
        <f>IF(COUNT(E12:E15)=0,"",IF(I11&lt;=2,"Sangat Jarang / Tidak Muncul",IF(I11&lt;=4,"Kadang-Kadang",IF(I11&lt;=6,"Sering Muncul","Konsisten Muncul"))))</f>
        <v/>
      </c>
    </row>
    <row r="12" ht="47.25" customHeight="1">
      <c r="B12" s="150" t="inlineStr">
        <is>
          <t>Karsa Satya:
General Observation</t>
        </is>
      </c>
      <c r="C12" s="46" t="inlineStr">
        <is>
          <t>Datang tepat waktu pada saat sesi</t>
        </is>
      </c>
      <c r="D12" s="46" t="inlineStr">
        <is>
          <t>Datang sebelum pembicara mulai menyampaikan materi
0 = terlambat (setelah pembicara sudah mulai)
1 = tepat waktu (sesaat pembicara mulai)</t>
        </is>
      </c>
      <c r="E12" s="49" t="n">
        <v>2</v>
      </c>
      <c r="F12" s="46" t="inlineStr">
        <is>
          <t>Datang tepat waktu pada sesi Transmission.</t>
        </is>
      </c>
      <c r="H12" s="150">
        <f>B16</f>
        <v/>
      </c>
      <c r="I12" s="47">
        <f>IF(COUNT(E16:E19)=0,"",SUM(E16:E19))</f>
        <v/>
      </c>
      <c r="J12" s="48">
        <f>IF(COUNT(E16:E19)=0,"",IF(I12&lt;=2,"Sangat Jarang / Tidak Muncul",IF(I12&lt;=4,"Kadang-Kadang",IF(I12&lt;=6,"Sering Muncul","Konsisten Muncul"))))</f>
        <v/>
      </c>
    </row>
    <row r="13" ht="102.75" customHeight="1">
      <c r="B13" s="202" t="n"/>
      <c r="C13" s="46" t="inlineStr">
        <is>
          <t>Berpakaian rapi sesuai ketentuan aturan the organization</t>
        </is>
      </c>
      <c r="D13" s="50" t="inlineStr">
        <is>
          <t>Menggunakan dresscode rapi sesuai dengan ketentuan aturan the organization. 
Day 1: Professional office
Day 2: Berbatik
Day 3: Kaos Peserta + Blazer
0= salah dresscode
1= kurang rapi dengan ketentuan the organization
2 = sesuai ketentuan the organization</t>
        </is>
      </c>
      <c r="E13" s="49" t="n">
        <v>2</v>
      </c>
      <c r="F13" s="46" t="inlineStr">
        <is>
          <t>Menggunakan dress code yang sesuai.</t>
        </is>
      </c>
    </row>
    <row r="14" ht="60" customHeight="1">
      <c r="B14" s="202" t="n"/>
      <c r="C14" s="46" t="inlineStr">
        <is>
          <t>Menunjukkan fokus dan perhatian penuh saat pembicara memaparkan materi.</t>
        </is>
      </c>
      <c r="D14" s="46" t="inlineStr">
        <is>
          <t>0 = Melakukan aktivitas lain hampir di seluruh sesi ketika orang lain berbicara (main hp, bermain laptop, tidur, keluar untuk waktu lama).
1 = Sesekali 
2 = Full Atensi</t>
        </is>
      </c>
      <c r="E14" s="49" t="n">
        <v>2</v>
      </c>
      <c r="F14" s="46" t="inlineStr">
        <is>
          <t>Fokus pada pembicara, tidak terlihat mengantuk, dan tidak menggunakan HP meskipun sesi berlangsung setelah makan siang; juga mencatat materi.</t>
        </is>
      </c>
    </row>
    <row r="15" ht="84" customHeight="1">
      <c r="B15" s="203" t="n"/>
      <c r="C15" s="46" t="inlineStr">
        <is>
          <t>Menunjukkan etika profesional dan memberikan respons apresiatif terhadap jalannya forum.</t>
        </is>
      </c>
      <c r="D15" s="46" t="inlineStr">
        <is>
          <t>Memberikan reaksi yang pantas saat berinteraksi dengan pembicara/MC (tidak hanya diam mematung).
1 = Merespons sapaan/instruksi sesekali saja, namun terkesan formalitas atau kurang antusias.
2 = Proaktif memberikan respons (menjawab salam, bertepuk tangan di momen yang tepat)</t>
        </is>
      </c>
      <c r="E15" s="49" t="n">
        <v>2</v>
      </c>
      <c r="F15" s="46" t="inlineStr">
        <is>
          <t>Tepuk tangan ketika pemateri menjawab pertanyaan kelompok lain.</t>
        </is>
      </c>
    </row>
    <row r="16" ht="36" customHeight="1">
      <c r="B16" s="150" t="inlineStr">
        <is>
          <t>Karsa Daya: GRIT</t>
        </is>
      </c>
      <c r="C16" s="46" t="inlineStr">
        <is>
          <t>Tetap fokus dan menunjukkan keterlibatan aktif sepanjang sesi meskipun durasi panjang atau materi kompleks</t>
        </is>
      </c>
      <c r="D16" s="46" t="inlineStr">
        <is>
          <t>Peserta mencatat poin penting dan merespons pertanyaan dari moderator tetap engaged sampai sesi akhir</t>
        </is>
      </c>
      <c r="E16" s="49" t="n">
        <v>2</v>
      </c>
      <c r="F16" s="46" t="inlineStr">
        <is>
          <t>Menjaga fokus sepanjang sesi dan mencatat materi.</t>
        </is>
      </c>
    </row>
    <row r="17" ht="36" customHeight="1">
      <c r="B17" s="202" t="n"/>
      <c r="C17" s="46" t="inlineStr">
        <is>
          <t>Mengajukan pertanyaan atau komentar yang menunjukkan ketekunan dalam memahami materi, bukan sekadar permukaan</t>
        </is>
      </c>
      <c r="D17" s="46" t="inlineStr">
        <is>
          <t>Contoh pertanyaan: Tadi Ibu sebut logistik ekspor sempat drop saat kurs meningkat. Apa strategi baru yang akhirnya berhasil menjaga volume?</t>
        </is>
      </c>
      <c r="E17" s="49" t="n">
        <v>2</v>
      </c>
      <c r="F17" s="46" t="inlineStr">
        <is>
          <t>Bersama RZ mengangkat tangan pada sesi tanya jawab.</t>
        </is>
      </c>
    </row>
    <row r="18" ht="156" customHeight="1">
      <c r="B18" s="202" t="n"/>
      <c r="C18" s="46" t="inlineStr">
        <is>
          <t>Mempertahankan bahasa tubuh yang antusias sepanjang durasi acara.</t>
        </is>
      </c>
      <c r="D18" s="46" t="inlineStr">
        <is>
          <t>Tidak menunjukkan bahasa tubuh yang pasrah atau kelelahan ekstrem, terpisah dari sekadar "tidak main HP".
0 = Menunjukkan bahasa tubuh yang sangat malas (bersandar pasrah merosot di kursi, menunduk terus, wajah ditekuk) di sebagian besar sesi.
1 = Berusaha duduk tegak, namun sesekali terlihat sangat kelelahan, menguap lebar berulang kali, atau merebahkan kepala sesaat.
2 = Konsisten mempertahankan postur antusias (duduk tegap, pandangan mengarah ke panggung) dan menyimak sesi dari awal hingga akhir.</t>
        </is>
      </c>
      <c r="E18" s="49" t="n">
        <v>2</v>
      </c>
      <c r="F18" s="46" t="inlineStr">
        <is>
          <t>Tidak menunjukkan bahasa tubuh mengantuk/lelah berlebihan setelah makan siang.</t>
        </is>
      </c>
    </row>
    <row r="19" ht="158.25" customHeight="1">
      <c r="B19" s="203" t="n"/>
      <c r="C19" s="46" t="inlineStr">
        <is>
          <t>Menunjukkan ketekunan menyimak pada saat sesi diskusi/Tanya Jawab (Q&amp;A) berlangsung, meskipun bukan dirinya yang bertanya.</t>
        </is>
      </c>
      <c r="D19" s="46" t="inlineStr">
        <is>
          <t>Mengukur fokus peserta saat mendengar pertanyaan dari rekan lain dan jawaban dari pembicara.
0 = Langsung check-out (mulai ngobrol santai dengan sebelah, membuka HP, atau terlihat tidak peduli) begitu sesi Q&amp;A dimulai.
1 = Tetap melihat ke arah panggung, namun pasif dan terlihat bosan/menurun fokusnya dibandingkan saat materi utama.
2 = Menyimak pertanyaan dari peserta lain dan jawaban dari pembicara dengan saksama (sama seriusnya dengan saat mendengarkan materi utama).</t>
        </is>
      </c>
      <c r="E19" s="49" t="n">
        <v>2</v>
      </c>
      <c r="F19" s="46" t="inlineStr">
        <is>
          <t>Mendengarkan ketika kelompok lain bertanya dan mengikuti jawaban pemateri.</t>
        </is>
      </c>
    </row>
    <row r="20" ht="15.75" customHeight="1">
      <c r="B20" s="34" t="n"/>
      <c r="C20" s="34" t="n"/>
      <c r="D20" s="34" t="n"/>
      <c r="E20" s="33" t="n"/>
      <c r="F20" s="34" t="n"/>
    </row>
    <row r="21" ht="15.75" customHeight="1">
      <c r="B21" s="34" t="n"/>
      <c r="C21" s="34" t="n"/>
      <c r="D21" s="34" t="n"/>
      <c r="E21" s="33" t="n"/>
      <c r="F21" s="34" t="n"/>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B25" s="34" t="n"/>
      <c r="C25" s="34" t="n"/>
      <c r="D25" s="34" t="n"/>
      <c r="E25" s="33" t="n"/>
      <c r="F25" s="34" t="n"/>
    </row>
    <row r="26" ht="15.75" customHeight="1">
      <c r="B26" s="34" t="n"/>
      <c r="C26" s="34" t="n"/>
      <c r="D26" s="34" t="n"/>
      <c r="E26" s="33" t="n"/>
      <c r="F26" s="34" t="n"/>
    </row>
    <row r="27" ht="15.75" customHeight="1">
      <c r="B27" s="34" t="n"/>
      <c r="C27" s="34" t="n"/>
      <c r="D27" s="34" t="n"/>
      <c r="E27" s="33" t="n"/>
      <c r="F27" s="34" t="n"/>
    </row>
    <row r="28" ht="15.75" customHeight="1">
      <c r="B28" s="34" t="n"/>
      <c r="C28" s="34" t="n"/>
      <c r="D28" s="34" t="n"/>
      <c r="E28" s="33" t="n"/>
      <c r="F28" s="34" t="n"/>
    </row>
    <row r="29" ht="15.75" customHeight="1">
      <c r="B29" s="34" t="n"/>
      <c r="C29" s="34" t="n"/>
      <c r="D29" s="34" t="n"/>
      <c r="E29" s="33" t="n"/>
      <c r="F29" s="34" t="n"/>
    </row>
    <row r="30" ht="15.75" customHeight="1">
      <c r="B30" s="34" t="n"/>
      <c r="C30" s="34" t="n"/>
      <c r="D30" s="34" t="n"/>
      <c r="E30" s="33" t="n"/>
      <c r="F30" s="34" t="n"/>
    </row>
    <row r="31" ht="15.75" customHeight="1">
      <c r="B31" s="34" t="n"/>
      <c r="C31" s="34" t="n"/>
      <c r="D31" s="34" t="n"/>
      <c r="E31" s="33" t="n"/>
      <c r="F31" s="34" t="n"/>
    </row>
    <row r="32" ht="15.75" customHeight="1">
      <c r="B32" s="34" t="n"/>
      <c r="C32" s="34" t="n"/>
      <c r="D32" s="34" t="n"/>
      <c r="E32" s="33" t="n"/>
      <c r="F32" s="34" t="n"/>
    </row>
    <row r="33" ht="15.75" customHeight="1">
      <c r="B33" s="34" t="n"/>
      <c r="C33" s="34" t="n"/>
      <c r="D33" s="34" t="n"/>
      <c r="E33" s="33" t="n"/>
      <c r="F33" s="34" t="n"/>
    </row>
    <row r="34" ht="15.75" customHeight="1">
      <c r="B34" s="34" t="n"/>
      <c r="C34" s="34" t="n"/>
      <c r="D34" s="34" t="n"/>
      <c r="E34" s="33" t="n"/>
      <c r="F34" s="34" t="n"/>
    </row>
    <row r="35" ht="15.75" customHeight="1">
      <c r="B35" s="34" t="n"/>
      <c r="C35" s="34" t="n"/>
      <c r="D35" s="34" t="n"/>
      <c r="E35" s="33" t="n"/>
      <c r="F35" s="34" t="n"/>
    </row>
    <row r="36" ht="15.75" customHeight="1">
      <c r="B36" s="34" t="n"/>
      <c r="C36" s="34" t="n"/>
      <c r="D36" s="34" t="n"/>
      <c r="E36" s="33" t="n"/>
      <c r="F36" s="34" t="n"/>
    </row>
    <row r="37" ht="15.75" customHeight="1">
      <c r="B37" s="34" t="n"/>
      <c r="C37" s="34" t="n"/>
      <c r="D37" s="34" t="n"/>
      <c r="E37" s="33" t="n"/>
      <c r="F37" s="34" t="n"/>
    </row>
    <row r="38" ht="15.75" customHeight="1">
      <c r="B38" s="34" t="n"/>
      <c r="C38" s="34" t="n"/>
      <c r="D38" s="34" t="n"/>
      <c r="E38" s="33" t="n"/>
      <c r="F38" s="34" t="n"/>
    </row>
    <row r="39" ht="15.75" customHeight="1">
      <c r="B39" s="34" t="n"/>
      <c r="C39" s="34" t="n"/>
      <c r="D39" s="34" t="n"/>
      <c r="E39" s="33" t="n"/>
      <c r="F39" s="34" t="n"/>
    </row>
    <row r="40" ht="15.75" customHeight="1">
      <c r="B40" s="34" t="n"/>
      <c r="C40" s="34" t="n"/>
      <c r="D40" s="34" t="n"/>
      <c r="E40" s="33" t="n"/>
      <c r="F40" s="34" t="n"/>
    </row>
    <row r="41" ht="15.75" customHeight="1">
      <c r="B41" s="34" t="n"/>
      <c r="C41" s="34" t="n"/>
      <c r="D41" s="34" t="n"/>
      <c r="F41" s="34" t="n"/>
    </row>
    <row r="42" ht="15.75" customHeight="1">
      <c r="B42" s="34" t="n"/>
      <c r="C42" s="34" t="n"/>
      <c r="D42" s="34" t="n"/>
      <c r="F42" s="34" t="n"/>
    </row>
  </sheetData>
  <mergeCells count="7">
    <mergeCell ref="B11:D11"/>
    <mergeCell ref="B5:D5"/>
    <mergeCell ref="B8:D8"/>
    <mergeCell ref="B12:B15"/>
    <mergeCell ref="B7:D7"/>
    <mergeCell ref="B16:B19"/>
    <mergeCell ref="B6:D6"/>
  </mergeCells>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tabColor rgb="FFDA99E3"/>
    <outlinePr summaryBelow="1" summaryRight="1"/>
    <pageSetUpPr/>
  </sheetPr>
  <dimension ref="A1:J37"/>
  <sheetViews>
    <sheetView topLeftCell="A15" zoomScaleNormal="100" workbookViewId="0">
      <selection activeCell="E13" sqref="E13:F24"/>
    </sheetView>
  </sheetViews>
  <sheetFormatPr baseColWidth="8" defaultColWidth="8.85546875" defaultRowHeight="15.75" customHeight="1"/>
  <cols>
    <col width="4.42578125" customWidth="1" style="4" min="1" max="1"/>
    <col width="20.28515625" customWidth="1" style="4" min="2" max="2"/>
    <col width="41.42578125" customWidth="1" style="4" min="3" max="3"/>
    <col width="35.7109375" customWidth="1" style="4" min="4" max="4"/>
    <col width="20.28515625" customWidth="1" style="4" min="5" max="5"/>
    <col width="43.7109375" customWidth="1" style="4" min="6" max="6"/>
    <col width="9.140625" customWidth="1" style="4" min="7" max="7"/>
    <col width="12.140625" customWidth="1" style="4" min="8" max="8"/>
    <col width="8.85546875" customWidth="1" style="4" min="9" max="16384"/>
  </cols>
  <sheetData>
    <row r="1"/>
    <row r="2" ht="15.75" customHeight="1">
      <c r="B2" s="36" t="inlineStr">
        <is>
          <t xml:space="preserve">Day 2: Mission: Ghost Protocol Observasi	</t>
        </is>
      </c>
      <c r="C2" s="36" t="n"/>
    </row>
    <row r="3"/>
    <row r="4" ht="15.75" customHeight="1">
      <c r="B4" s="151" t="inlineStr">
        <is>
          <t>Cara Pengisian:</t>
        </is>
      </c>
      <c r="E4" s="3"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54"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26.25" customHeight="1">
      <c r="B8" s="153" t="inlineStr">
        <is>
          <t>4 Jika terdapat bukti perilaku yang mencerminkan kompetensi lainnya yang tidak ada di lembar observasi, observer diperbolehkan mencantumkannya pada bagian catatan di akhir formulir.</t>
        </is>
      </c>
    </row>
    <row r="9" ht="15.75" customHeight="1">
      <c r="B9" s="152" t="n"/>
    </row>
    <row r="10"/>
    <row r="11" ht="71.25" customHeight="1">
      <c r="B11" s="40" t="inlineStr">
        <is>
          <t>Kompetensi</t>
        </is>
      </c>
      <c r="C11" s="40" t="inlineStr">
        <is>
          <t>Indikator Perilaku</t>
        </is>
      </c>
      <c r="D11" s="40" t="inlineStr">
        <is>
          <t>Contoh kalimat/perilaku</t>
        </is>
      </c>
      <c r="E11" s="44"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49.5" customHeight="1">
      <c r="B12" s="149" t="n"/>
      <c r="C12" s="200" t="n"/>
      <c r="D12" s="201" t="n"/>
      <c r="E12" s="44" t="n"/>
      <c r="F12" s="149" t="n"/>
      <c r="H12" s="150">
        <f>B13</f>
        <v/>
      </c>
      <c r="I12" s="47">
        <f>IF(COUNT(E13:E16)=0,"",SUM(E13:E16))</f>
        <v/>
      </c>
      <c r="J12" s="48">
        <f>IF(COUNT(E13:E16)=0,"",IF(I12&lt;=2,"Sangat Jarang / Tidak Muncul",IF(I12&lt;=4,"Kadang-Kadang",IF(I12&lt;=6,"Sering Muncul","Konsisten Muncul"))))</f>
        <v/>
      </c>
    </row>
    <row r="13" ht="41.25" customHeight="1">
      <c r="B13" s="150" t="inlineStr">
        <is>
          <t>Karsa Daya:
GRIT &amp; Navigating Agility</t>
        </is>
      </c>
      <c r="C13" s="46" t="inlineStr">
        <is>
          <t>Menunjukkan keterlibatan aktif dalam proses penyelesaian tantangan pada setiap ronde</t>
        </is>
      </c>
      <c r="D13" s="46" t="inlineStr">
        <is>
          <t>adaptive communication,</t>
        </is>
      </c>
      <c r="E13" s="44" t="n">
        <v>2</v>
      </c>
      <c r="F13" s="46" t="inlineStr">
        <is>
          <t>Aktif dalam diskusi dan ideasi pembuatan Lego final; memberi informasi visual bahwa ada lampu berwarna putih.</t>
        </is>
      </c>
      <c r="H13" s="150">
        <f>B17</f>
        <v/>
      </c>
      <c r="I13" s="47">
        <f>IF(COUNT(E17:E20)=0,"",SUM(E17:E20))</f>
        <v/>
      </c>
      <c r="J13" s="48">
        <f>IF(COUNT(E17:E20)=0,"",IF(I13&lt;=2,"Sangat Jarang / Tidak Muncul",IF(I13&lt;=4,"Kadang-Kadang",IF(I13&lt;=6,"Sering Muncul","Konsisten Muncul"))))</f>
        <v/>
      </c>
    </row>
    <row r="14" ht="41.25" customHeight="1">
      <c r="B14" s="202" t="n"/>
      <c r="C14" s="46" t="inlineStr">
        <is>
          <t>Tidak menunjukkan sikap negatif seperti mengeluh dan menyerah ketika kelompok mengalami kesulitan</t>
        </is>
      </c>
      <c r="D14" s="46" t="inlineStr">
        <is>
          <t>strategic adjustment,</t>
        </is>
      </c>
      <c r="E14" s="44" t="n">
        <v>2</v>
      </c>
      <c r="F14" s="46" t="inlineStr">
        <is>
          <t>Tetap membantu proses penyusunan ketika logika Lego/Ghost masih membingungkan.</t>
        </is>
      </c>
      <c r="H14" s="150">
        <f>B21</f>
        <v/>
      </c>
      <c r="I14" s="47">
        <f>IF(COUNT(E21:E24)=0,"",SUM(E21:E24))</f>
        <v/>
      </c>
      <c r="J14" s="48">
        <f>IF(COUNT(E21:E24)=0,"",IF(I14&lt;=2,"Sangat Jarang / Tidak Muncul",IF(I14&lt;=4,"Kadang-Kadang",IF(I14&lt;=6,"Sering Muncul","Konsisten Muncul"))))</f>
        <v/>
      </c>
    </row>
    <row r="15" ht="54" customHeight="1">
      <c r="B15" s="202" t="n"/>
      <c r="C15" s="46" t="inlineStr">
        <is>
          <t>Menunjukkan keterbukaan terhadap cara kerja atau ide baru dalam kelompok</t>
        </is>
      </c>
      <c r="D15" s="46" t="inlineStr">
        <is>
          <t>openness,</t>
        </is>
      </c>
      <c r="E15" s="44" t="n">
        <v>2</v>
      </c>
      <c r="F15" s="46" t="inlineStr">
        <is>
          <t>Mengusulkan kemungkinan imposter ada dua, menunjukkan adaptasi asumsi terhadap situasi.</t>
        </is>
      </c>
    </row>
    <row r="16" ht="41.25" customHeight="1">
      <c r="B16" s="203" t="n"/>
      <c r="C16" s="53" t="inlineStr">
        <is>
          <t>Menunjukkan ketangguhan saat dituduh atau salah sangka</t>
        </is>
      </c>
      <c r="D16" s="53" t="inlineStr">
        <is>
          <t>Situational judgment.
Saat ada anggota tim mencurigainya, tetap fokus pada tugas &amp; tidak terprovokasi emosional.</t>
        </is>
      </c>
      <c r="E16" s="44" t="n">
        <v>0</v>
      </c>
      <c r="F16" s="46" t="inlineStr">
        <is>
          <t>Belum ada bukti perilaku eksplisit pada catatan Day 2 yang tersedia untuk indikator ini</t>
        </is>
      </c>
    </row>
    <row r="17" ht="41.25" customHeight="1">
      <c r="B17" s="150" t="inlineStr">
        <is>
          <t>Karsa Rasa:
Building Partnership</t>
        </is>
      </c>
      <c r="C17" s="87" t="inlineStr">
        <is>
          <t>Memberikan kesempatan kepada anggota tim untuk menyampaikan pendapat</t>
        </is>
      </c>
      <c r="D17" s="46" t="inlineStr">
        <is>
          <t>Proaktif mengajak yang lebih diam. 
contoh: "Menurutmu strategi ambil piece-nya gimana?"</t>
        </is>
      </c>
      <c r="E17" s="44" t="n">
        <v>2</v>
      </c>
      <c r="F17" s="46" t="inlineStr">
        <is>
          <t>Aktif mengomunikasikan observasi dan membantu kelompok menyusun Lego.</t>
        </is>
      </c>
    </row>
    <row r="18" ht="41.25" customHeight="1">
      <c r="B18" s="202" t="n"/>
      <c r="C18" s="87" t="inlineStr">
        <is>
          <t>Menunjukkan sikap terbuka terhadap masukan dari anggota tim, seperti tidak memotong pembicaraan, mengakui ide rekan, dll</t>
        </is>
      </c>
      <c r="D18" s="46" t="inlineStr">
        <is>
          <t>"Idemu bagus. Ide itu bisa juga diintegrasikan dengan pakai daftar prioritas piece-nya, kita lebih efisien."</t>
        </is>
      </c>
      <c r="E18" s="44" t="n">
        <v>1</v>
      </c>
      <c r="F18" s="46" t="inlineStr">
        <is>
          <t>Membantu komunikasi informasi visual kepada tim.</t>
        </is>
      </c>
    </row>
    <row r="19" ht="52.5" customHeight="1">
      <c r="B19" s="202" t="n"/>
      <c r="C19" s="97" t="inlineStr">
        <is>
          <t>Mendorong terciptanya kesepahaman sebelum kelompok mengambil keputusan</t>
        </is>
      </c>
      <c r="D19" s="46" t="inlineStr">
        <is>
          <t>Merangkum kesepakatan sebelum lanjut ke topik berikutnya, Cek pemahaman secara eksplisit, Mengangkat hal yang belum dibahas sebelum waktu habis, dll</t>
        </is>
      </c>
      <c r="E19" s="44" t="n">
        <v>1</v>
      </c>
      <c r="F19" s="46" t="inlineStr">
        <is>
          <t>Membantu kesepahaman melalui informasi yang ia lihat.</t>
        </is>
      </c>
    </row>
    <row r="20" ht="41.25" customHeight="1">
      <c r="B20" s="203" t="n"/>
      <c r="C20" s="87" t="inlineStr">
        <is>
          <t>Menunjukkan upaya menjaga kerja sama kelompok tetap kondusif selama aktivitas berlangsung</t>
        </is>
      </c>
      <c r="D20" s="46" t="inlineStr">
        <is>
          <t>Saat suasana mulai tegang karena kecurigaan, peserta berusaha mendinginkan</t>
        </is>
      </c>
      <c r="E20" s="44" t="n">
        <v>0</v>
      </c>
      <c r="F20" s="46" t="inlineStr">
        <is>
          <t>Belum ada bukti perilaku eksplisit pada catatan Day 2 yang tersedia untuk indikator ini</t>
        </is>
      </c>
    </row>
    <row r="21" ht="48" customHeight="1">
      <c r="B21" s="176" t="inlineStr">
        <is>
          <t>Karsa Satya: 
Being Sensitive to Risk</t>
        </is>
      </c>
      <c r="C21" s="90" t="inlineStr">
        <is>
          <t>Berani mengangkat concern saat tim akan mengambil keputusan berisiko (menuduh tanpa bukti kuat)</t>
        </is>
      </c>
      <c r="D21" s="53" t="inlineStr">
        <is>
          <t>Walau bertentangan dengan mayoritas, tetap angkat suara. 
"Aku nggak nyaman kita nuduh dia tanpa dasar jelas. Risiko salah orang."
“Sebelum memutuskan, coba kita cek lagi pola perilakunya dari awal, bukan hanya satu kejadian.”</t>
        </is>
      </c>
      <c r="E21" s="44" t="n">
        <v>1</v>
      </c>
      <c r="F21" s="46" t="inlineStr">
        <is>
          <t>Menunjukkan kehati-hatian asumsi dengan mengusulkan kemungkinan ghost lebih dari satu. Tim akhirnya sebagian tepat mengidentifikasi AR, tetapi belum lengkap karena IW tidak teridentifikasi.</t>
        </is>
      </c>
    </row>
    <row r="22" ht="35.25" customHeight="1">
      <c r="B22" s="202" t="n"/>
      <c r="C22" s="90" t="inlineStr">
        <is>
          <t>Mendorong tim untuk membedakan fakta, asumsi, dan prasangka sebelum mengambil keputusan.</t>
        </is>
      </c>
      <c r="D22" s="53" t="inlineStr">
        <is>
          <t>“Yang kita lihat faktanya apa? Dia salah ambil Lego, atau kita cuma merasa dia menghambat?”</t>
        </is>
      </c>
      <c r="E22" s="44" t="n">
        <v>1</v>
      </c>
      <c r="F22" s="46" t="inlineStr">
        <is>
          <t>Mendorong tim membaca ulang asumsi jumlah ghost sebelum keputusan final.</t>
        </is>
      </c>
    </row>
    <row r="23" ht="36" customHeight="1">
      <c r="B23" s="202" t="n"/>
      <c r="C23" s="90" t="inlineStr">
        <is>
          <t>Mengingatkan tim agar tidak terburu-buru mengambil keputusan saat situasi menekan</t>
        </is>
      </c>
      <c r="D23" s="53" t="inlineStr">
        <is>
          <t>“Kita memang dikejar waktu, tapi jangan sampai keputusan cepat justru bikin tugas makin sulit.”</t>
        </is>
      </c>
      <c r="E23" s="44" t="n">
        <v>1</v>
      </c>
      <c r="F23" s="46" t="inlineStr">
        <is>
          <t>Tidak terburu-buru menerima asumsi satu ghost saja; bukti masih sedang karena keputusan akhir belum sepenuhnya akurat.</t>
        </is>
      </c>
    </row>
    <row r="24" ht="58.5" customHeight="1">
      <c r="B24" s="203" t="n"/>
      <c r="C24" s="90" t="inlineStr">
        <is>
          <t>Mendorong proses pengambilan keputusan yang fair &amp; transparan, bukan yang memilih saboteur dari orang yang lemah/tidak vokal (scapegoat)</t>
        </is>
      </c>
      <c r="D24" s="53" t="inlineStr">
        <is>
          <t>Saat tim cenderung menuduh anggota yang paling diam (karena paling mudah dituduh), ia coba menengahi. 
"Bukan karena dia diam jadi dia saboteur. Mari pikir ulang."</t>
        </is>
      </c>
      <c r="E24" s="44" t="n">
        <v>0</v>
      </c>
      <c r="F24" s="46" t="inlineStr">
        <is>
          <t>Belum ada bukti perilaku eksplisit pada catatan Day 2 yang tersedia untuk indikator ini</t>
        </is>
      </c>
    </row>
    <row r="25" ht="15.75" customHeight="1">
      <c r="B25" s="34" t="n"/>
      <c r="C25" s="34" t="n"/>
      <c r="D25" s="34" t="n"/>
      <c r="E25" s="34" t="n"/>
    </row>
    <row r="26" ht="15.75" customHeight="1">
      <c r="B26" s="34" t="n"/>
      <c r="C26" s="34" t="n"/>
      <c r="D26" s="34" t="n"/>
      <c r="E26" s="34" t="n"/>
      <c r="F26" s="34" t="n"/>
    </row>
    <row r="27" ht="15.75" customHeight="1">
      <c r="B27" s="34" t="n"/>
      <c r="C27" s="34" t="n"/>
      <c r="D27" s="34" t="n"/>
      <c r="E27" s="34" t="n"/>
      <c r="F27" s="34" t="n"/>
    </row>
    <row r="28" ht="15.75" customHeight="1">
      <c r="B28" s="34" t="n"/>
      <c r="C28" s="34" t="n"/>
      <c r="D28" s="34" t="n"/>
      <c r="E28" s="34" t="n"/>
      <c r="F28" s="34" t="n"/>
    </row>
    <row r="29" ht="15.75" customHeight="1">
      <c r="B29" s="34" t="n"/>
      <c r="C29" s="34" t="n"/>
      <c r="D29" s="34" t="n"/>
      <c r="E29" s="34" t="n"/>
      <c r="F29" s="34" t="n"/>
    </row>
    <row r="30" ht="15.75" customHeight="1">
      <c r="B30" s="34" t="n"/>
      <c r="C30" s="34" t="n"/>
      <c r="D30" s="34" t="n"/>
      <c r="E30" s="34" t="n"/>
      <c r="F30" s="34" t="n"/>
    </row>
    <row r="31" ht="15.75" customHeight="1">
      <c r="B31" s="34" t="n"/>
      <c r="C31" s="34" t="n"/>
      <c r="D31" s="34" t="n"/>
      <c r="E31" s="34" t="n"/>
      <c r="F31" s="34" t="n"/>
    </row>
    <row r="32" ht="15.75" customHeight="1">
      <c r="B32" s="34" t="n"/>
      <c r="C32" s="34" t="n"/>
      <c r="D32" s="34" t="n"/>
      <c r="E32" s="34" t="n"/>
      <c r="F32" s="34" t="n"/>
    </row>
    <row r="33" ht="15.75" customHeight="1">
      <c r="B33" s="34" t="n"/>
      <c r="C33" s="34" t="n"/>
      <c r="D33" s="34" t="n"/>
      <c r="E33" s="34" t="n"/>
      <c r="F33" s="34" t="n"/>
    </row>
    <row r="34" ht="15.75" customHeight="1">
      <c r="B34" s="34" t="n"/>
      <c r="C34" s="34" t="n"/>
      <c r="D34" s="34" t="n"/>
      <c r="E34" s="34" t="n"/>
      <c r="F34" s="34" t="n"/>
    </row>
    <row r="35" ht="15.75" customHeight="1">
      <c r="B35" s="34" t="n"/>
      <c r="C35" s="34" t="n"/>
      <c r="D35" s="34" t="n"/>
      <c r="E35" s="34" t="n"/>
      <c r="F35" s="34" t="n"/>
    </row>
    <row r="36" ht="15.75" customHeight="1">
      <c r="B36" s="34" t="n"/>
      <c r="C36" s="34" t="n"/>
      <c r="D36" s="34" t="n"/>
      <c r="E36" s="34" t="n"/>
      <c r="F36" s="34" t="n"/>
    </row>
    <row r="37" ht="15.75" customHeight="1">
      <c r="E37" s="34" t="n"/>
    </row>
  </sheetData>
  <mergeCells count="9">
    <mergeCell ref="B13:B16"/>
    <mergeCell ref="B5:D5"/>
    <mergeCell ref="B17:B20"/>
    <mergeCell ref="B8:D8"/>
    <mergeCell ref="B4:D4"/>
    <mergeCell ref="B21:B24"/>
    <mergeCell ref="B12:D12"/>
    <mergeCell ref="B7:D7"/>
    <mergeCell ref="B6:D6"/>
  </mergeCells>
  <pageMargins left="0.7" right="0.7" top="0.75" bottom="0.75"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DA99E3"/>
    <outlinePr summaryBelow="1" summaryRight="1"/>
    <pageSetUpPr/>
  </sheetPr>
  <dimension ref="A1:J36"/>
  <sheetViews>
    <sheetView topLeftCell="A11" zoomScale="87" zoomScaleNormal="87" workbookViewId="0">
      <selection activeCell="E13" sqref="E13:F28"/>
    </sheetView>
  </sheetViews>
  <sheetFormatPr baseColWidth="8" defaultColWidth="8.85546875" defaultRowHeight="15.75" customHeight="1"/>
  <cols>
    <col width="4.42578125" customWidth="1" style="4" min="1" max="1"/>
    <col width="20.28515625" customWidth="1" style="4" min="2" max="2"/>
    <col width="41.42578125" customWidth="1" style="4" min="3" max="3"/>
    <col width="35.7109375" customWidth="1" style="4" min="4" max="4"/>
    <col width="22.42578125" customWidth="1" style="30" min="5" max="5"/>
    <col width="43.7109375" customWidth="1" style="4" min="6" max="6"/>
    <col width="9.140625" customWidth="1" style="4" min="7" max="7"/>
    <col width="12.28515625" customWidth="1" style="4" min="8" max="8"/>
    <col width="8.85546875" customWidth="1" style="4" min="9" max="9"/>
    <col width="26" customWidth="1" style="4" min="10" max="10"/>
    <col width="8.85546875" customWidth="1" style="4" min="11" max="16384"/>
  </cols>
  <sheetData>
    <row r="1"/>
    <row r="2" ht="15.75" customHeight="1">
      <c r="B2" s="36" t="inlineStr">
        <is>
          <t>Day 2: Final Broadcast (Preparation)</t>
        </is>
      </c>
      <c r="C2" s="36" t="n"/>
    </row>
    <row r="3"/>
    <row r="4" ht="15.75" customHeight="1">
      <c r="B4" s="151" t="inlineStr">
        <is>
          <t>Cara Pengisian:</t>
        </is>
      </c>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54"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26.25" customHeight="1">
      <c r="B8" s="153" t="inlineStr">
        <is>
          <t>4 Jika terdapat bukti perilaku yang mencerminkan kompetensi lainnya yang tidak ada di lembar observasi, observer diperbolehkan mencantumkannya pada bagian catatan di akhir formulir.</t>
        </is>
      </c>
    </row>
    <row r="9" ht="15.75" customHeight="1">
      <c r="B9" s="152" t="n"/>
    </row>
    <row r="10"/>
    <row r="11" ht="56.25" customHeight="1">
      <c r="B11" s="40" t="inlineStr">
        <is>
          <t>Kompetensi</t>
        </is>
      </c>
      <c r="C11" s="40" t="inlineStr">
        <is>
          <t>Indikator Perilaku</t>
        </is>
      </c>
      <c r="D11" s="40" t="inlineStr">
        <is>
          <t>Contoh kalimat/perilaku</t>
        </is>
      </c>
      <c r="E11" s="44"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30" customHeight="1">
      <c r="B12" s="149" t="n"/>
      <c r="C12" s="200" t="n"/>
      <c r="D12" s="201" t="n"/>
      <c r="E12" s="44" t="n"/>
      <c r="F12" s="149" t="n"/>
      <c r="H12" s="150">
        <f>B13</f>
        <v/>
      </c>
      <c r="I12" s="47">
        <f>IF(COUNT(E13:E16)=0,"",SUM(E13:E16))</f>
        <v/>
      </c>
      <c r="J12" s="48">
        <f>IF(COUNT(E13:E16)=0,"",IF(I12&lt;=2,"Sangat Jarang / Tidak Muncul",IF(I12&lt;=4,"Kadang-Kadang",IF(I12&lt;=6,"Sering Muncul","Konsisten Muncul"))))</f>
        <v/>
      </c>
    </row>
    <row r="13" ht="41.25" customHeight="1">
      <c r="B13" s="178" t="inlineStr">
        <is>
          <t>Karsa Daya:
GRIT</t>
        </is>
      </c>
      <c r="C13" s="53" t="inlineStr">
        <is>
          <t>Tetap menunjukkan antusiasme dan energi positif saat diskusi konsep (meskipun ide ditolak atau sudah capek karena sudah malam)</t>
        </is>
      </c>
      <c r="D13" s="46" t="inlineStr">
        <is>
          <t>"Oke nggak masalah, ayo kita brainstorm ide lain."</t>
        </is>
      </c>
      <c r="E13" s="44" t="n">
        <v>2</v>
      </c>
      <c r="F13" s="46" t="inlineStr">
        <is>
          <t>Tetap aktif menyiapkan kebutuhan performance; kontribusi properti/kostumnya signifikan terhadap outcome.</t>
        </is>
      </c>
      <c r="H13" s="150">
        <f>B17</f>
        <v/>
      </c>
      <c r="I13" s="47">
        <f>IF(COUNT(E17:E20)=0,"",SUM(E17:E20))</f>
        <v/>
      </c>
      <c r="J13" s="48">
        <f>IF(COUNT(E17:E20)=0,"",IF(I13&lt;=2,"Sangat Jarang / Tidak Muncul",IF(I13&lt;=4,"Kadang-Kadang",IF(I13&lt;=6,"Sering Muncul","Konsisten Muncul"))))</f>
        <v/>
      </c>
    </row>
    <row r="14" ht="41.25" customHeight="1">
      <c r="B14" s="202" t="n"/>
      <c r="C14" s="53" t="inlineStr">
        <is>
          <t>Konsisten mencoba menyelesaikan keterampilan / pekerjaan yang sulit meskipun sudah beberapa kali gagal</t>
        </is>
      </c>
      <c r="D14" s="46" t="inlineStr">
        <is>
          <t>Konsisten latihan walau koreo/dialog/lirik sulit dikuasai
"Sekali lagi yuk, aku belum dapet timing-nya."</t>
        </is>
      </c>
      <c r="E14" s="44" t="n">
        <v>2</v>
      </c>
      <c r="F14" s="46" t="inlineStr">
        <is>
          <t>Menjalankan effort besar pada pencarian dan pengadaan properti/kostum.</t>
        </is>
      </c>
      <c r="H14" s="150">
        <f>B21</f>
        <v/>
      </c>
      <c r="I14" s="47">
        <f>IF(COUNT(E21:E24)=0,"",SUM(E21:E24))</f>
        <v/>
      </c>
      <c r="J14" s="48">
        <f>IF(COUNT(E21:E24)=0,"",IF(I14&lt;=2,"Sangat Jarang / Tidak Muncul",IF(I14&lt;=4,"Kadang-Kadang",IF(I14&lt;=6,"Sering Muncul","Konsisten Muncul"))))</f>
        <v/>
      </c>
    </row>
    <row r="15" ht="41.25" customHeight="1">
      <c r="B15" s="202" t="n"/>
      <c r="C15" s="53" t="inlineStr">
        <is>
          <t>Tetap mendorong diri sendiri untuk melanjutkan latihan / berpikir / aktivitas yang sedang dijalankan meskipun peserta lain sudah menyerah</t>
        </is>
      </c>
      <c r="D15" s="46" t="inlineStr">
        <is>
          <t>Tetap nyoba lagi atau mengatakan "Ayo coba lagi, masih ada waktu"</t>
        </is>
      </c>
      <c r="E15" s="44" t="n">
        <v>2</v>
      </c>
      <c r="F15" s="46" t="inlineStr">
        <is>
          <t>Setelah masalah timing ditemukan saat gladi bersih, tetap mengikuti latihan tambahan dan tiga kali latihan lagi untuk membuat performance lebih tepat waktu dan lancar.</t>
        </is>
      </c>
      <c r="H15" s="150">
        <f>B25</f>
        <v/>
      </c>
      <c r="I15" s="47">
        <f>IF(COUNT(E25:E28)=0,"",SUM(E25:E28))</f>
        <v/>
      </c>
      <c r="J15" s="48">
        <f>IF(COUNT(E25:E28)=0,"",IF(I15&lt;=2,"Sangat Jarang / Tidak Muncul",IF(I15&lt;=4,"Kadang-Kadang",IF(I15&lt;=6,"Sering Muncul","Konsisten Muncul"))))</f>
        <v/>
      </c>
    </row>
    <row r="16" ht="41.25" customHeight="1">
      <c r="B16" s="203" t="n"/>
      <c r="C16" s="53" t="inlineStr">
        <is>
          <t>Energi yang dimiliki tetap konsisten dari awal sampai akhir sesi preparation, tidak menurun jelang akhir</t>
        </is>
      </c>
      <c r="D16" s="46" t="inlineStr">
        <is>
          <t>Tetap aktif berkontribusi, bukan duduk pasif menunggu waktu habis (atau waktu pulang)</t>
        </is>
      </c>
      <c r="E16" s="44" t="n">
        <v>2</v>
      </c>
      <c r="F16" s="46" t="inlineStr">
        <is>
          <t>Energi kontribusinya tetap kuat pada fase persiapan performance.</t>
        </is>
      </c>
    </row>
    <row r="17" ht="57.75" customHeight="1">
      <c r="B17" s="179" t="inlineStr">
        <is>
          <t>Karsa Rasa:
Building Partnership</t>
        </is>
      </c>
      <c r="C17" s="54" t="inlineStr">
        <is>
          <t>Mendengarkan ide rekan secara penuh sebelum komentar</t>
        </is>
      </c>
      <c r="D17" s="98" t="inlineStr">
        <is>
          <t>Tidak memotong pembicaraan orang lain, mendengarkan secara seksama, mem pharaphase pembicaraan orang lain (menunjukkan ia mendengarkan)</t>
        </is>
      </c>
      <c r="E17" s="44" t="n">
        <v>2</v>
      </c>
      <c r="F17" s="87" t="inlineStr">
        <is>
          <t>Berkoordinasi dengan kelompok lain terkait penentuan 5 Wonders.</t>
        </is>
      </c>
    </row>
    <row r="18" ht="57.75" customHeight="1">
      <c r="B18" s="202" t="n"/>
      <c r="C18" s="54" t="inlineStr">
        <is>
          <t>Mengajak diskusi &amp; alignment saat ada ide bertentangan</t>
        </is>
      </c>
      <c r="D18" s="98" t="inlineStr">
        <is>
          <t>Saat 2 ide berbenturan, memfasilitasi. 
"Aku lihat dua-duanya idenya bagus, gimana kalau kita gabung elemen X dari ide A dan Y dari ide B?"</t>
        </is>
      </c>
      <c r="E18" s="44" t="n">
        <v>2</v>
      </c>
      <c r="F18" s="87" t="inlineStr">
        <is>
          <t>Koordinasi lintas kelompok membantu alignment konsep 5 Wonders.</t>
        </is>
      </c>
    </row>
    <row r="19" ht="57.75" customHeight="1">
      <c r="B19" s="202" t="n"/>
      <c r="C19" s="54" t="inlineStr">
        <is>
          <t>Membantu teman yang mengalami kesulitan tanpa diminta, selama proses belajar seperti memberikan bantuan teknis atau menjelaskan keterampilan yang dipelajari</t>
        </is>
      </c>
      <c r="D19" s="98" t="inlineStr">
        <is>
          <t>Membantu rekan yang kesulitan (peran sulit, malu tampil, koreo belum hafal) tanpa diminta</t>
        </is>
      </c>
      <c r="E19" s="44" t="n">
        <v>1</v>
      </c>
      <c r="F19" s="87" t="inlineStr">
        <is>
          <t>Membuat properti dari cetakan yang sudah disiapkan; kontribusi ini membantu output kelompok, tetapi bukan bukti langsung membantu rekan yang kesulitan.</t>
        </is>
      </c>
    </row>
    <row r="20" ht="57.75" customHeight="1">
      <c r="B20" s="202" t="n"/>
      <c r="C20" s="99" t="inlineStr">
        <is>
          <t>Mengucapkan terima kasih atau memberikan pengakuan setelah dibantu oleh anggota kelompok saat mempelajari keterampilan</t>
        </is>
      </c>
      <c r="D20" s="98" t="inlineStr">
        <is>
          <t>Mengapresiasi kontribusi rekan secara eksplisit setelah diajarkan sebuah koreografi / keterampilan tertentu</t>
        </is>
      </c>
      <c r="E20" s="44" t="n">
        <v>0</v>
      </c>
      <c r="F20" s="87" t="inlineStr">
        <is>
          <t>Belum ada bukti perilaku eksplisit pada catatan Final Broadcast Prep yang tersedia untuk indikator ini</t>
        </is>
      </c>
    </row>
    <row r="21" ht="53.25" customHeight="1">
      <c r="B21" s="176" t="inlineStr">
        <is>
          <t>Karsa Tumbuh:
Growth Mindset</t>
        </is>
      </c>
      <c r="C21" s="100" t="inlineStr">
        <is>
          <t>Mengusulkan ide kreatif yang segar untuk performance</t>
        </is>
      </c>
      <c r="D21" s="97" t="inlineStr">
        <is>
          <t>"Gimana kalau konsep kita masuknya pakai parodi iklan? Tema-nya jadi nyangkut tapi unik."
 "Coba pakai gerakan yang lagi viral di TikTok kali ya buat tariannya, tapi kita twist dikit."</t>
        </is>
      </c>
      <c r="E21" s="44" t="n">
        <v>2</v>
      </c>
      <c r="F21" s="46" t="inlineStr">
        <is>
          <t>Mengeksplorasi fashion option di marketplace dan membeli beberapa properti/kostum performance.</t>
        </is>
      </c>
    </row>
    <row r="22" ht="53.25" customHeight="1">
      <c r="B22" s="202" t="n"/>
      <c r="C22" s="100" t="inlineStr">
        <is>
          <t xml:space="preserve">Mengeksplorasi referensi &amp; inspirasi baru dari berbagai sumber (medsos, kampanye sebelumnya, tren musik). </t>
        </is>
      </c>
      <c r="D22" s="97" t="inlineStr">
        <is>
          <t>"Aku inget ada konsep mirip di event taun lalu, kita bisa adaptasi." 
"Coba kita lihat YouTube dulu ada referensi koreo nggak."</t>
        </is>
      </c>
      <c r="E22" s="44" t="n">
        <v>2</v>
      </c>
      <c r="F22" s="46" t="inlineStr">
        <is>
          <t>Mengeksplorasi referensi properti/kostum dari online marketplace.</t>
        </is>
      </c>
    </row>
    <row r="23" ht="53.25" customHeight="1">
      <c r="B23" s="202" t="n"/>
      <c r="C23" s="100" t="inlineStr">
        <is>
          <t>Bereksperimen dengan pendekatan baru ketika ide pertama kurang cocok / ditolak yang anggota tim lainnya.</t>
        </is>
      </c>
      <c r="D23" s="97" t="inlineStr">
        <is>
          <t>Saat brainstorm buntu, coba untuk switch pendekatan</t>
        </is>
      </c>
      <c r="E23" s="44" t="n">
        <v>2</v>
      </c>
      <c r="F23" s="46" t="inlineStr">
        <is>
          <t>Menyarankan penyesuaian posisi aktor bumi agar tidak terlalu dekat dengan aktor planet sebelah, sebagai eksperimen blocking performance.</t>
        </is>
      </c>
    </row>
    <row r="24" ht="53.25" customHeight="1">
      <c r="B24" s="203" t="n"/>
      <c r="C24" s="101" t="inlineStr">
        <is>
          <t>Terbuka &amp; belajar dari feedback rekan tim untuk mengembangkan ide bersama, bukan defensif terhadap kritik.</t>
        </is>
      </c>
      <c r="D24" s="102" t="inlineStr">
        <is>
          <t>tidak defensif saat idenya tidak diterima oleh rekan lain. Langsung bisa adjust dan kasih ide baru atau mengikuti alur diskusi (terus aktif berkontribusi)</t>
        </is>
      </c>
      <c r="E24" s="44" t="n">
        <v>2</v>
      </c>
      <c r="F24" s="57" t="inlineStr">
        <is>
          <t>Menerima kebutuhan perbaikan timing dan ikut latihan tambahan tanpa catatan defensif.</t>
        </is>
      </c>
    </row>
    <row r="25" ht="58.5" customFormat="1" customHeight="1" s="103">
      <c r="B25" s="178" t="inlineStr">
        <is>
          <t>Karsa Mahira: 
Being Proactive</t>
        </is>
      </c>
      <c r="C25" s="178" t="inlineStr">
        <is>
          <t>Mengusulkan cara kerja yang lebih efektif untuk mempersingkat alur kerja</t>
        </is>
      </c>
      <c r="D25" s="53" t="inlineStr">
        <is>
          <t>Bagi peran, bikin strategi biar kerja kelompok lebih efisien
"Sebelum mulai latihan, kita storyboard kasar dulu 5 menit, kapan masuk, posisi siapa di mana, kapan keluar. Biar latihannya efektif."</t>
        </is>
      </c>
      <c r="E25" s="44" t="n">
        <v>2</v>
      </c>
      <c r="F25" s="53" t="inlineStr">
        <is>
          <t>Mengambil inisiatif menyediakan properti/kostum yang dibutuhkan.</t>
        </is>
      </c>
    </row>
    <row r="26" ht="46.5" customFormat="1" customHeight="1" s="103">
      <c r="B26" s="202" t="n"/>
      <c r="C26" s="178" t="inlineStr">
        <is>
          <t>Run-through dengan timer &amp; quality check</t>
        </is>
      </c>
      <c r="D26" s="53" t="inlineStr">
        <is>
          <t>"Arah masuk dan keluar bener-bener sama nggak? Kita masuk dari mana, keluar dari mana, barengin yuk."
"Tema-nya kelihatan nggak dari penampilan kita? Coba aku jadi penonton 10 detik, langsung nangkep nggak tema-nya?"</t>
        </is>
      </c>
      <c r="E26" s="44" t="n">
        <v>2</v>
      </c>
      <c r="F26" s="53" t="inlineStr">
        <is>
          <t>Ikut run-through dengan perhatian pada timer, timing, dan quality check agar performance bagus dan on time.</t>
        </is>
      </c>
    </row>
    <row r="27" ht="46.5" customFormat="1" customHeight="1" s="103">
      <c r="B27" s="202" t="n"/>
      <c r="C27" s="178" t="inlineStr">
        <is>
          <t>Mendistribusikan peran sesuai kekuatan anggota</t>
        </is>
      </c>
      <c r="D27" s="53" t="inlineStr">
        <is>
          <t>"Suaranya dia paling bagus dan stabil, jadi vokal utama. Aku bagian acting aja kayaknya lebih bisa dipelajari"</t>
        </is>
      </c>
      <c r="E27" s="44" t="n">
        <v>1</v>
      </c>
      <c r="F27" s="53" t="inlineStr">
        <is>
          <t>Peran narator selaras dengan pembawaan kreatifnya, tetapi proses distribusi peran berdasarkan kekuatan tidak terekam eksplisit.</t>
        </is>
      </c>
    </row>
    <row r="28" ht="46.5" customFormat="1" customHeight="1" s="103">
      <c r="B28" s="203" t="n"/>
      <c r="C28" s="178" t="inlineStr">
        <is>
          <t>Antisipasi masalah di hari H &amp; siapkan plan B</t>
        </is>
      </c>
      <c r="D28" s="53" t="inlineStr">
        <is>
          <t>"Tutup kepala lepas pas joget di latihan tadi. Kayaknya perlu pakai jepitan dari dalam, biar pas perform aman."</t>
        </is>
      </c>
      <c r="E28" s="44" t="n">
        <v>2</v>
      </c>
      <c r="F28" s="53" t="inlineStr">
        <is>
          <t>Mengantisipasi masalah blocking/visual dengan menyarankan posisi aktor bumi tidak terlalu dekat dengan aktor planet sebelah.</t>
        </is>
      </c>
    </row>
    <row r="29" ht="15.75" customHeight="1">
      <c r="B29" s="34" t="n"/>
      <c r="C29" s="34" t="n"/>
      <c r="D29" s="34" t="n"/>
      <c r="E29" s="33" t="n"/>
      <c r="F29" s="34" t="n"/>
    </row>
    <row r="30" ht="15.75" customHeight="1">
      <c r="B30" s="34" t="n"/>
      <c r="C30" s="34" t="n"/>
      <c r="D30" s="34" t="n"/>
      <c r="E30" s="33" t="n"/>
      <c r="F30" s="34" t="n"/>
    </row>
    <row r="31" ht="15.75" customHeight="1">
      <c r="B31" s="34" t="n"/>
      <c r="C31" s="34" t="n"/>
      <c r="D31" s="34" t="n"/>
      <c r="E31" s="33" t="n"/>
      <c r="F31" s="34" t="n"/>
    </row>
    <row r="32" ht="15.75" customHeight="1">
      <c r="B32" s="34" t="n"/>
      <c r="C32" s="34" t="n"/>
      <c r="D32" s="34" t="n"/>
      <c r="E32" s="33" t="n"/>
      <c r="F32" s="34" t="n"/>
    </row>
    <row r="33" ht="15.75" customHeight="1">
      <c r="B33" s="34" t="n"/>
      <c r="C33" s="34" t="n"/>
      <c r="D33" s="34" t="n"/>
      <c r="E33" s="33" t="n"/>
      <c r="F33" s="34" t="n"/>
    </row>
    <row r="34" ht="15.75" customHeight="1">
      <c r="B34" s="34" t="n"/>
      <c r="C34" s="34" t="n"/>
      <c r="D34" s="34" t="n"/>
      <c r="F34" s="34" t="n"/>
    </row>
    <row r="35" ht="15.75" customHeight="1">
      <c r="B35" s="34" t="n"/>
      <c r="C35" s="34" t="n"/>
      <c r="D35" s="34" t="n"/>
      <c r="F35" s="34" t="n"/>
    </row>
    <row r="36" ht="15.75" customHeight="1">
      <c r="B36" s="34" t="n"/>
      <c r="C36" s="34" t="n"/>
      <c r="D36" s="34" t="n"/>
      <c r="F36" s="34" t="n"/>
    </row>
  </sheetData>
  <mergeCells count="10">
    <mergeCell ref="B13:B16"/>
    <mergeCell ref="B5:D5"/>
    <mergeCell ref="B17:B20"/>
    <mergeCell ref="B8:D8"/>
    <mergeCell ref="B4:D4"/>
    <mergeCell ref="B21:B24"/>
    <mergeCell ref="B25:B28"/>
    <mergeCell ref="B12:D12"/>
    <mergeCell ref="B7:D7"/>
    <mergeCell ref="B6:D6"/>
  </mergeCells>
  <pageMargins left="0.7" right="0.7" top="0.75" bottom="0.75"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7030A0"/>
    <outlinePr summaryBelow="1" summaryRight="1"/>
    <pageSetUpPr/>
  </sheetPr>
  <dimension ref="A1:H21"/>
  <sheetViews>
    <sheetView topLeftCell="A18" zoomScale="57" zoomScaleNormal="57" workbookViewId="0">
      <selection activeCell="E13" sqref="E13:H21"/>
    </sheetView>
  </sheetViews>
  <sheetFormatPr baseColWidth="8" defaultColWidth="8.85546875" defaultRowHeight="15.75" customHeight="1"/>
  <cols>
    <col width="4.42578125" customWidth="1" style="4" min="1" max="1"/>
    <col width="20.28515625" customWidth="1" style="4" min="2" max="2"/>
    <col width="41.42578125" customWidth="1" style="4" min="3" max="3"/>
    <col width="28.28515625" customWidth="1" style="30" min="4" max="7"/>
    <col width="16.85546875" customWidth="1" style="4" min="8" max="8"/>
    <col width="8.85546875" customWidth="1" style="4" min="9" max="16384"/>
  </cols>
  <sheetData>
    <row r="1"/>
    <row r="2" ht="15.75" customHeight="1">
      <c r="B2" s="36" t="inlineStr">
        <is>
          <t>Day 2: Recap</t>
        </is>
      </c>
      <c r="C2" s="36" t="n"/>
    </row>
    <row r="3"/>
    <row r="4" ht="15.75" customHeight="1">
      <c r="B4" s="151" t="inlineStr">
        <is>
          <t>Cara Pengisian:</t>
        </is>
      </c>
    </row>
    <row r="5" ht="15.75" customHeight="1">
      <c r="B5" s="59" t="inlineStr">
        <is>
          <t>Penilaian dilakukan menggunakan skala 1–100 pada setiap Karsa yang dinilai.</t>
        </is>
      </c>
      <c r="C5" s="151" t="n"/>
      <c r="D5" s="151" t="n"/>
    </row>
    <row r="6" ht="15.75" customHeight="1">
      <c r="B6" s="59" t="inlineStr">
        <is>
          <t>Berikan nilai berdasarkan frekuensi, konsistensi, dan konteks kemunculan perilaku peserta sepanjang hari.</t>
        </is>
      </c>
      <c r="C6" s="151" t="n"/>
      <c r="D6" s="151" t="n"/>
    </row>
    <row r="7" ht="15.75" customHeight="1">
      <c r="B7" s="59" t="inlineStr">
        <is>
          <t>Gunakan keseluruhan observasi selama satu hari berlangsung sebagai dasar penilaian, bukan hanya satu momen tertentu.</t>
        </is>
      </c>
      <c r="C7" s="151" t="n"/>
      <c r="D7" s="151" t="n"/>
    </row>
    <row r="8" ht="15.75" customHeight="1">
      <c r="B8" s="59" t="inlineStr">
        <is>
          <t>Pilih rentang nilai yang paling menggambarkan kemunculan perilaku peserta pada masing-masing Karsa. Berikan nilai yang berbeda untuk setiap peserta di kelompok yang Anda observasi</t>
        </is>
      </c>
      <c r="C8" s="151" t="n"/>
      <c r="D8" s="151" t="n"/>
    </row>
    <row r="9" ht="15.75" customHeight="1">
      <c r="B9" s="4" t="inlineStr">
        <is>
          <t>Panduan deskripsi untuk setiap rentang skala penilaian telah disediakan sebagai acuan dalam memberikan nilai.</t>
        </is>
      </c>
    </row>
    <row r="10"/>
    <row r="11"/>
    <row r="12" ht="87.75" customHeight="1">
      <c r="B12" s="40" t="inlineStr">
        <is>
          <t>Kompetensi</t>
        </is>
      </c>
      <c r="C12" s="40" t="inlineStr">
        <is>
          <t>Definisi</t>
        </is>
      </c>
      <c r="D12" s="82" t="inlineStr">
        <is>
          <t>0 - 25
Sangat Jarang/Tidak Muncul
Perilaku tidak muncul sama sekali, atau hanya 1 kali di satu indikator sepanjang hari</t>
        </is>
      </c>
      <c r="E12" s="82" t="inlineStr">
        <is>
          <t>26 - 50
Kadang-Kadang Muncul
Perilaku muncul 2–3 kali, hanya dalam situasi tertentu atau saat didorong orang lain, di 1 atau 2 indikator sepanjang hari</t>
        </is>
      </c>
      <c r="F12" s="82" t="inlineStr">
        <is>
          <t>51 - 75
 Sering Muncul
Perilaku muncul 4–5 kali, secara mandiri dalam beragam konteks sepanjang sesi, di beberapa indikator (lebih dari 2) indikator sepanjang hari</t>
        </is>
      </c>
      <c r="G12" s="83" t="inlineStr">
        <is>
          <t>76 - 100
Konsisten Muncul
Perilaku muncul lebih 5 kali secara mandiri, terlihat alami, konsisten menyebar di hampir semua/seluruh indikator, dan merata di sepanjang hari sesuai dengan konteks situasi</t>
        </is>
      </c>
      <c r="H12" s="47" t="inlineStr">
        <is>
          <t>Bukti Perilaku</t>
        </is>
      </c>
    </row>
    <row r="13" ht="101.25" customHeight="1">
      <c r="B13" s="84" t="inlineStr">
        <is>
          <t>Karsa Satya – Being Sensitive to Risk</t>
        </is>
      </c>
      <c r="C13" s="84" t="inlineStr">
        <is>
          <t>Menunjukkan kepekaan terhadap potensi risiko, kepatuhan terhadap aturan dan prosedur, serta kehati-hatian dalam mengambil keputusan dan menjalankan tindakan. Mampu mempertimbangkan dampak dari keputusan yang diambil, menjaga kepercayaan, serta berani mengungkapkan hal-hal yang tidak sesuai dengan ketentuan atau berpotensi menimbulkan risiko bagi organisasi.</t>
        </is>
      </c>
      <c r="D13" s="85" t="n"/>
      <c r="E13" s="85" t="n">
        <v>45</v>
      </c>
      <c r="F13" s="85" t="n"/>
      <c r="G13" s="104" t="n"/>
      <c r="H13" s="46" t="inlineStr">
        <is>
          <t>Satya VNM muncul sebagai baseline dari kontribusi pada kampanye fraud-awareness dan kehati-hatian asumsi di Ghost Protocol. Ia ikut membawa pesan anti-fraud melalui konsep kreatif, serta mengusulkan kemungkinan ghost lebih dari satu. Pada Psychometry, seluruh peserta mengerjakan dengan baik tanpa bantuan AI. Bukti Satya belum dominan pada aspek SOP/kepatuhan formal. Catatan: tidak adanya bukti eksplisit tidak diperlakukan sebagai bukti bahwa perilaku tidak terjadi.</t>
        </is>
      </c>
    </row>
    <row r="14" ht="101.25" customHeight="1">
      <c r="B14" s="84" t="inlineStr">
        <is>
          <t>Karsa Daya – GRIT</t>
        </is>
      </c>
      <c r="C14" s="84" t="inlineStr">
        <is>
          <t>Menunjukkan ketangguhan, ketekunan, dan konsistensi dalam menyelesaikan tugas maupun menghadapi tantangan. Tetap berupaya mencapai tujuan, menjaga keterlibatan dan kontribusi, serta tidak mudah menyerah ketika menghadapi tekanan, hambatan, atau situasi yang sulit.</t>
        </is>
      </c>
      <c r="D14" s="85" t="n"/>
      <c r="E14" s="85" t="n"/>
      <c r="F14" s="85" t="n">
        <v>70</v>
      </c>
      <c r="G14" s="104" t="n"/>
      <c r="H14" s="46" t="inlineStr">
        <is>
          <t>VNM menjaga fokus dalam Transmission setelah makan siang tanpa sleepy/HP, aktif di OP dan GP, serta menunjukkan effort besar saat persiapan Final Broadcast. Kontribusi properti/kostumnya signifikan bagi outcome. Catatan: tidak adanya bukti eksplisit tidak diperlakukan sebagai bukti bahwa perilaku tidak terjadi.</t>
        </is>
      </c>
    </row>
    <row r="15" ht="101.25" customHeight="1">
      <c r="B15" s="84" t="inlineStr">
        <is>
          <t>Karsa Daya – Navigating Agility</t>
        </is>
      </c>
      <c r="C15" s="84" t="inlineStr">
        <is>
          <t>Menunjukkan kemampuan beradaptasi terhadap perubahan situasi, tantangan, maupun kebutuhan kerja yang berkembang. Mampu menyesuaikan pendekatan, cara kerja, dan pengambilan keputusan secara cepat dan relevan dalam menghadapi dinamika yang terjadi.</t>
        </is>
      </c>
      <c r="D15" s="85" t="n"/>
      <c r="E15" s="85" t="n"/>
      <c r="F15" s="85" t="n">
        <v>70</v>
      </c>
      <c r="G15" s="104" t="n"/>
      <c r="H15" s="46" t="inlineStr">
        <is>
          <t>VNM beradaptasi melalui eksplorasi lagu, revisi lirik, penggunaan properti alternatif, ideasi Lego, dan pembacaan ulang asumsi ghost. Catatan: tidak adanya bukti eksplisit tidak diperlakukan sebagai bukti bahwa perilaku tidak terjadi.</t>
        </is>
      </c>
    </row>
    <row r="16" ht="101.25" customHeight="1">
      <c r="B16" s="84" t="inlineStr">
        <is>
          <t>Karsa Rasa – Customer First</t>
        </is>
      </c>
      <c r="C16" s="84" t="inlineStr">
        <is>
          <t>Menunjukkan kepedulian dan perhatian terhadap kebutuhan, kondisi, serta perspektif pelanggan atau stakeholder dalam proses pengambilan keputusan dan pelaksanaan pekerjaan. Mampu memahami kebutuhan pihak lain dan mempertimbangkannya dalam menentukan solusi, tindakan, maupun prioritas kerja.</t>
        </is>
      </c>
      <c r="D16" s="85" t="n"/>
      <c r="E16" s="85" t="n">
        <v>50</v>
      </c>
      <c r="F16" s="85" t="n"/>
      <c r="G16" s="104" t="n"/>
      <c r="H16" s="46" t="inlineStr">
        <is>
          <t>VNM membantu membuat pesan kampanye lebih menarik bagi audiens melalui konsep, lirik, lagu, dan properti, meskipun strategi target likes lebih kuat pada RZ. Catatan: tidak adanya bukti eksplisit tidak diperlakukan sebagai bukti bahwa perilaku tidak terjadi.</t>
        </is>
      </c>
    </row>
    <row r="17" ht="101.25" customHeight="1">
      <c r="B17" s="84" t="inlineStr">
        <is>
          <t>Karsa Rasa – Building Partnership</t>
        </is>
      </c>
      <c r="C17" s="84" t="inlineStr">
        <is>
          <t>Menunjukkan kemampuan membangun hubungan kerja yang positif, kolaboratif, dan saling menghargai dengan berbagai pihak. Mampu melibatkan orang lain dalam proses kerja, menjaga komunikasi yang terbuka, serta membangun keselarasan untuk mencapai tujuan bersama.</t>
        </is>
      </c>
      <c r="D17" s="85" t="n"/>
      <c r="E17" s="85" t="n"/>
      <c r="F17" s="85" t="n">
        <v>75</v>
      </c>
      <c r="G17" s="104" t="n"/>
      <c r="H17" s="46" t="inlineStr">
        <is>
          <t>VNM memastikan Iwan dan Yudi memahami peran, aktif berkomunikasi dalam Ghost Protocol, dan berkoordinasi dengan kelompok lain terkait 5 Wonders. Catatan: tidak adanya bukti eksplisit tidak diperlakukan sebagai bukti bahwa perilaku tidak terjadi.</t>
        </is>
      </c>
    </row>
    <row r="18" ht="101.25" customHeight="1">
      <c r="B18" s="84" t="inlineStr">
        <is>
          <t>Karsa Mahira – Being Proactive</t>
        </is>
      </c>
      <c r="C18" s="84" t="inlineStr">
        <is>
          <t>Menunjukkan inisiatif dalam mengambil tindakan, mencari solusi, dan menjalankan pekerjaan tanpa harus menunggu arahan. Mampu melihat kebutuhan atau potensi permasalahan lebih awal serta mengambil langkah yang diperlukan untuk mendukung pencapaian tujuan kerja.</t>
        </is>
      </c>
      <c r="D18" s="85" t="n"/>
      <c r="E18" s="85" t="n"/>
      <c r="F18" s="85" t="n"/>
      <c r="G18" s="104" t="n">
        <v>80</v>
      </c>
      <c r="H18" s="46" t="inlineStr">
        <is>
          <t>VNM proaktif mengeksplorasi konsep video, lagu, koreografi, properti, dan kebutuhan kostum tanpa menunggu instruksi rinci. Catatan: tidak adanya bukti eksplisit tidak diperlakukan sebagai bukti bahwa perilaku tidak terjadi.</t>
        </is>
      </c>
    </row>
    <row r="19" ht="101.25" customHeight="1">
      <c r="B19" s="84" t="inlineStr">
        <is>
          <t>Karsa Mahira – Relevant to Market</t>
        </is>
      </c>
      <c r="C19" s="84" t="inlineStr">
        <is>
          <t>Menunjukkan pemahaman terhadap kebutuhan bisnis, perkembangan lingkungan, dan kompetensi yang relevan dengan tantangan organisasi. Mampu menghubungkan solusi, ide, maupun pengembangan yang dilakukan dengan kebutuhan organisasi, pelanggan, dan dinamika pasar yang terus berkembang.</t>
        </is>
      </c>
      <c r="D19" s="85" t="n"/>
      <c r="E19" s="85" t="n"/>
      <c r="F19" s="85" t="n">
        <v>65</v>
      </c>
      <c r="G19" s="104" t="n"/>
      <c r="H19" s="46" t="inlineStr">
        <is>
          <t>VNM menyesuaikan konsep kreatif dengan kebutuhan audiens dan performance, tetapi bukti business/market framing tidak sekuat aspek kreatif. Catatan: tidak adanya bukti eksplisit tidak diperlakukan sebagai bukti bahwa perilaku tidak terjadi.</t>
        </is>
      </c>
    </row>
    <row r="20" ht="101.25" customHeight="1">
      <c r="B20" s="84" t="inlineStr">
        <is>
          <t>Karsa Tumbuh – Growth Oriented</t>
        </is>
      </c>
      <c r="C20" s="84" t="inlineStr">
        <is>
          <t>Menunjukkan semangat untuk terus belajar, berkembang, dan memperbaiki diri dalam menghadapi perubahan dan tantangan. Mampu terbuka terhadap ide baru, mengembangkan pendekatan yang lebih efektif, serta menghadirkan solusi yang adaptif dan relevan dengan kebutuhan yang berkembang.</t>
        </is>
      </c>
      <c r="D20" s="85" t="n"/>
      <c r="E20" s="85" t="n"/>
      <c r="F20" s="85" t="n"/>
      <c r="G20" s="104" t="n">
        <v>85</v>
      </c>
      <c r="H20" s="46" t="inlineStr">
        <is>
          <t>Kekuatan utama VNM adalah eksplorasi dan iterasi: song choices, konsep, lirik/koreografi, properti, fashion options, dan pengembangan ide performance. Catatan: tidak adanya bukti eksplisit tidak diperlakukan sebagai bukti bahwa perilaku tidak terjadi.</t>
        </is>
      </c>
    </row>
    <row r="21" ht="101.25" customHeight="1">
      <c r="B21" s="84" t="inlineStr">
        <is>
          <t>Karsa Jaya – Excellence in Execution</t>
        </is>
      </c>
      <c r="C21" s="84" t="inlineStr">
        <is>
          <t>Menunjukkan kemampuan mengeksekusi pekerjaan secara terarah, terstruktur, dan berorientasi hasil. Mampu menjaga kualitas pelaksanaan kerja, memastikan tindak lanjut berjalan dengan baik, serta menyelesaikan pekerjaan secara efektif untuk mencapai tujuan dan dampak yang diharapkan.</t>
        </is>
      </c>
      <c r="D21" s="85" t="n"/>
      <c r="E21" s="85" t="n"/>
      <c r="F21" s="85" t="n">
        <v>75</v>
      </c>
      <c r="G21" s="104" t="n"/>
      <c r="H21" s="46" t="inlineStr">
        <is>
          <t>VNM menghasilkan kontribusi nyata pada video, shooting, properti, dan kostum. Jaya kuat, tetapi bukan pengarah utama timeline/task split seperti MHC/RZ. Catatan: tidak adanya bukti eksplisit tidak diperlakukan sebagai bukti bahwa perilaku tidak terjadi.</t>
        </is>
      </c>
    </row>
  </sheetData>
  <mergeCells count="1">
    <mergeCell ref="B4:D4"/>
  </mergeCells>
  <pageMargins left="0.7" right="0.7" top="0.75" bottom="0.75"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T43"/>
  <sheetViews>
    <sheetView showGridLines="0" zoomScaleNormal="100" workbookViewId="0">
      <pane xSplit="2" ySplit="6" topLeftCell="C17" activePane="bottomRight" state="frozen"/>
      <selection pane="bottomRight" activeCell="D27" sqref="D27"/>
      <selection pane="bottomLeft" activeCell="A7" sqref="A7"/>
      <selection pane="topRight" activeCell="C1" sqref="C1"/>
    </sheetView>
  </sheetViews>
  <sheetFormatPr baseColWidth="8" defaultColWidth="8.7109375" defaultRowHeight="14.45"/>
  <cols>
    <col width="3" customWidth="1" min="1" max="1"/>
    <col width="36" customWidth="1" min="2" max="2"/>
    <col width="14" customWidth="1" min="3" max="3"/>
    <col width="12" customWidth="1" min="4" max="8"/>
    <col width="40" customWidth="1" min="9" max="9"/>
  </cols>
  <sheetData>
    <row r="1"/>
    <row r="2" ht="25.5" customHeight="1">
      <c r="B2" s="170" t="inlineStr">
        <is>
          <t>DAY 2 — KONTRIBUSI KE SKOR TOTAL</t>
        </is>
      </c>
    </row>
    <row r="3">
      <c r="B3" s="67" t="inlineStr">
        <is>
          <t>Peserta:</t>
        </is>
      </c>
      <c r="C3" s="68">
        <f>'REKAP TOTAL (Auto)'!C3</f>
        <v/>
      </c>
      <c r="E3" s="171" t="inlineStr">
        <is>
          <t>Kontribusi = poin yang hari ini sumbang ke skor Karsa di Rekap 3 Hari</t>
        </is>
      </c>
    </row>
    <row r="4"/>
    <row r="5" ht="13.5" customHeight="1">
      <c r="E5" s="172" t="inlineStr">
        <is>
          <t>NILAI KEGIATAN HARI INI (0–100)</t>
        </is>
      </c>
    </row>
    <row r="6" ht="33.75" customHeight="1">
      <c r="B6" s="69" t="inlineStr">
        <is>
          <t>Kompetensi</t>
        </is>
      </c>
      <c r="C6" s="172" t="inlineStr">
        <is>
          <t>Kontribusi
hari ini (poin)</t>
        </is>
      </c>
      <c r="D6" s="70" t="inlineStr">
        <is>
          <t>Op. Protect</t>
        </is>
      </c>
      <c r="E6" s="70" t="inlineStr">
        <is>
          <t>Transmission</t>
        </is>
      </c>
      <c r="F6" s="70" t="inlineStr">
        <is>
          <t>Mission</t>
        </is>
      </c>
      <c r="G6" s="70" t="inlineStr">
        <is>
          <t>Final Broadcast</t>
        </is>
      </c>
      <c r="H6" s="70" t="inlineStr">
        <is>
          <t>Slides</t>
        </is>
      </c>
      <c r="I6" s="172" t="inlineStr">
        <is>
          <t>Uraian (diisi asesor)</t>
        </is>
      </c>
    </row>
    <row r="7" ht="30" customHeight="1">
      <c r="B7" s="71" t="inlineStr">
        <is>
          <t>Karsa Satya – Being Sensitive to Risk</t>
        </is>
      </c>
      <c r="C7"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(Auto)'!J18*('Day 2- 2. Operation the organization Protect'!I12/8*100),0)+IFERROR('REKAP TOTAL (Auto)'!L18*('Day 2 - 4. Mission '!I14/8*100),0)+IFERROR('REKAP TOTAL (Auto)'!N18*('Day 2- 2. Operation-Slides'!L13/5*100),0))/(IF(ISNUMBER(IFERROR('Day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7" s="73">
        <f>IFERROR('Day 2- 2. Operation the organization Protect'!I12/8*100,"")</f>
        <v/>
      </c>
      <c r="E7" s="73" t="n"/>
      <c r="F7" s="73">
        <f>IFERROR('Day 2 - 4. Mission '!I14/8*100,"")</f>
        <v/>
      </c>
      <c r="G7" s="73" t="n"/>
      <c r="H7" s="73">
        <f>IFERROR('Day 2- 2. Operation-Slides'!L13/5*100,"")</f>
        <v/>
      </c>
      <c r="I7" s="74" t="n"/>
    </row>
    <row r="8" ht="30" customHeight="1">
      <c r="B8" s="71" t="inlineStr">
        <is>
          <t>Karsa Satya – General Observation</t>
        </is>
      </c>
      <c r="C8"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(Auto)'!K19*('Day 2 - 3. Transmission'!I11/8*100),0))/(IF(ISNUMBER(IFERROR('Day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8" s="73" t="n"/>
      <c r="E8" s="73">
        <f>IFERROR('Day 2 - 3. Transmission'!I11/8*100,"")</f>
        <v/>
      </c>
      <c r="F8" s="73" t="n"/>
      <c r="G8" s="73" t="n"/>
      <c r="H8" s="73" t="n"/>
      <c r="I8" s="74" t="n"/>
    </row>
    <row r="9" ht="19.5" customHeight="1">
      <c r="B9" s="75" t="inlineStr">
        <is>
          <t xml:space="preserve">  → Karsa Satya (kontribusi Day 2)</t>
        </is>
      </c>
      <c r="C9" s="76">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(Auto)'!J18*('Day 2- 2. Operation the organization Protect'!I12/8*100),0)+IFERROR('REKAP TOTAL (Auto)'!L18*('Day 2 - 4. Mission '!I14/8*100),0)+IFERROR('REKAP TOTAL (Auto)'!N18*('Day 2- 2. Operation-Slides'!L13/5*100),0)+IFERROR('REKAP TOTAL (Auto)'!K19*('Day 2 - 3. Transmission'!I11/8*100),0))/(IF(ISNUMBER(IFERROR('Day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9" s="77" t="n"/>
      <c r="E9" s="77" t="n"/>
      <c r="F9" s="77" t="n"/>
      <c r="G9" s="77" t="n"/>
      <c r="H9" s="77" t="n"/>
      <c r="I9" s="78" t="n"/>
    </row>
    <row r="10" ht="30" customHeight="1">
      <c r="B10" s="71" t="inlineStr">
        <is>
          <t>Karsa Daya – GRIT</t>
        </is>
      </c>
      <c r="C10"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(Auto)'!K20*('Day 2 - 3. Transmission'!I12/8*100),0)+IFERROR('REKAP TOTAL (Auto)'!L20*('Day 2 - 4. Mission '!I12/8*100),0)+IFERROR('REKAP TOTAL (Auto)'!M20*('Day 2 - 5.Final Broadcast(Prep)'!I12/8*100),0))/(IF(ISNUMBER(IFERROR('Day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0" s="73" t="n"/>
      <c r="E10" s="73">
        <f>IFERROR('Day 2 - 3. Transmission'!I12/8*100,"")</f>
        <v/>
      </c>
      <c r="F10" s="73">
        <f>IFERROR('Day 2 - 4. Mission '!I12/8*100,"")</f>
        <v/>
      </c>
      <c r="G10" s="73">
        <f>IFERROR('Day 2 - 5.Final Broadcast(Prep)'!I12/8*100,"")</f>
        <v/>
      </c>
      <c r="H10" s="73" t="n"/>
      <c r="I10" s="74" t="n"/>
    </row>
    <row r="11" ht="30" customHeight="1">
      <c r="B11" s="71" t="inlineStr">
        <is>
          <t>Karsa Daya – Navigating Agility</t>
        </is>
      </c>
      <c r="C11"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(Auto)'!L21*('Day 2 - 4. Mission '!I12/8*100),0))/(IF(ISNUMBER(IFERROR('Day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1" s="73" t="n"/>
      <c r="E11" s="73" t="n"/>
      <c r="F11" s="73">
        <f>IFERROR('Day 2 - 4. Mission '!I12/8*100,"")</f>
        <v/>
      </c>
      <c r="G11" s="73" t="n"/>
      <c r="H11" s="73" t="n"/>
      <c r="I11" s="74" t="n"/>
    </row>
    <row r="12" ht="19.5" customHeight="1">
      <c r="B12" s="75" t="inlineStr">
        <is>
          <t xml:space="preserve">  → Karsa Daya (kontribusi Day 2)</t>
        </is>
      </c>
      <c r="C12" s="76">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(Auto)'!K20*('Day 2 - 3. Transmission'!I12/8*100),0)+IFERROR('REKAP TOTAL (Auto)'!L20*('Day 2 - 4. Mission '!I12/8*100),0)+IFERROR('REKAP TOTAL (Auto)'!M20*('Day 2 - 5.Final Broadcast(Prep)'!I12/8*100),0)+IFERROR('REKAP TOTAL (Auto)'!L21*('Day 2 - 4. Mission '!I12/8*100),0))/(IF(ISNUMBER(IFERROR('Day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2" s="77" t="n"/>
      <c r="E12" s="77" t="n"/>
      <c r="F12" s="77" t="n"/>
      <c r="G12" s="77" t="n"/>
      <c r="H12" s="77" t="n"/>
      <c r="I12" s="78" t="n"/>
    </row>
    <row r="13" ht="30" customHeight="1">
      <c r="B13" s="71" t="inlineStr">
        <is>
          <t>Karsa Rasa – Customer First</t>
        </is>
      </c>
      <c r="C13" s="7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(Auto)'!N22*('Day 2- 2. Operation-Slides'!L16/5*100),0))/(IF(ISNUMBER(IFERROR('Day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3" s="73" t="n"/>
      <c r="E13" s="73" t="n"/>
      <c r="F13" s="73" t="n"/>
      <c r="G13" s="73" t="n"/>
      <c r="H13" s="73">
        <f>IFERROR('Day 2- 2. Operation-Slides'!L16/5*100,"")</f>
        <v/>
      </c>
      <c r="I13" s="74" t="n"/>
    </row>
    <row r="14" ht="30" customHeight="1">
      <c r="B14" s="71" t="inlineStr">
        <is>
          <t>Karsa Rasa – Building Partnership</t>
        </is>
      </c>
      <c r="C14" s="7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(Auto)'!J23*('Day 2- 2. Operation the organization Protect'!I15/8*100),0)+IFERROR('REKAP TOTAL (Auto)'!L23*('Day 2 - 4. Mission '!I13/8*100),0)+IFERROR('REKAP TOTAL (Auto)'!M23*('Day 2 - 5.Final Broadcast(Prep)'!I13/8*100),0))/(IF(ISNUMBER(IFERROR('Day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4" s="73">
        <f>IFERROR('Day 2- 2. Operation the organization Protect'!I15/8*100,"")</f>
        <v/>
      </c>
      <c r="E14" s="73" t="n"/>
      <c r="F14" s="73">
        <f>IFERROR('Day 2 - 4. Mission '!I13/8*100,"")</f>
        <v/>
      </c>
      <c r="G14" s="73">
        <f>IFERROR('Day 2 - 5.Final Broadcast(Prep)'!I13/8*100,"")</f>
        <v/>
      </c>
      <c r="H14" s="73" t="n"/>
      <c r="I14" s="74" t="n"/>
    </row>
    <row r="15" ht="19.5" customHeight="1">
      <c r="B15" s="75" t="inlineStr">
        <is>
          <t xml:space="preserve">  → Karsa Rasa (kontribusi Day 2)</t>
        </is>
      </c>
      <c r="C15" s="76">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(Auto)'!N22*('Day 2- 2. Operation-Slides'!L16/5*100),0)+IFERROR('REKAP TOTAL (Auto)'!J23*('Day 2- 2. Operation the organization Protect'!I15/8*100),0)+IFERROR('REKAP TOTAL (Auto)'!L23*('Day 2 - 4. Mission '!I13/8*100),0)+IFERROR('REKAP TOTAL (Auto)'!M23*('Day 2 - 5.Final Broadcast(Prep)'!I13/8*100),0))/(IF(ISNUMBER(IFERROR('Day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5" s="77" t="n"/>
      <c r="E15" s="77" t="n"/>
      <c r="F15" s="77" t="n"/>
      <c r="G15" s="77" t="n"/>
      <c r="H15" s="77" t="n"/>
      <c r="I15" s="78" t="n"/>
    </row>
    <row r="16" ht="30" customHeight="1">
      <c r="B16" s="71" t="inlineStr">
        <is>
          <t>Karsa Mahira – Being Proactive</t>
        </is>
      </c>
      <c r="C16"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(Auto)'!J24*('Day 2- 2. Operation the organization Protect'!I14/8*100),0)+IFERROR('REKAP TOTAL (Auto)'!M24*('Day 2 - 5.Final Broadcast(Prep)'!I15/8*100),0))/(IF(ISNUMBER(IFERROR('Day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6" s="73">
        <f>IFERROR('Day 2- 2. Operation the organization Protect'!I14/8*100,"")</f>
        <v/>
      </c>
      <c r="E16" s="73" t="n"/>
      <c r="F16" s="73" t="n"/>
      <c r="G16" s="73">
        <f>IFERROR('Day 2 - 5.Final Broadcast(Prep)'!I15/8*100,"")</f>
        <v/>
      </c>
      <c r="H16" s="73" t="n"/>
      <c r="I16" s="74" t="n"/>
    </row>
    <row r="17" ht="30" customHeight="1">
      <c r="B17" s="71" t="inlineStr">
        <is>
          <t>Karsa Mahira – Relevant to Market</t>
        </is>
      </c>
      <c r="C17"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(Auto)'!N25*('Day 2- 2. Operation-Slides'!L15/5*100),0))/(IF(ISNUMBER(IFERROR('Day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7" s="73" t="n"/>
      <c r="E17" s="73" t="n"/>
      <c r="F17" s="73" t="n"/>
      <c r="G17" s="73" t="n"/>
      <c r="H17" s="73">
        <f>IFERROR('Day 2- 2. Operation-Slides'!L15/5*100,"")</f>
        <v/>
      </c>
      <c r="I17" s="74" t="n"/>
    </row>
    <row r="18" ht="19.5" customHeight="1">
      <c r="B18" s="75" t="inlineStr">
        <is>
          <t xml:space="preserve">  → Karsa Mahira (kontribusi Day 2)</t>
        </is>
      </c>
      <c r="C18" s="76">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(Auto)'!J24*('Day 2- 2. Operation the organization Protect'!I14/8*100),0)+IFERROR('REKAP TOTAL (Auto)'!M24*('Day 2 - 5.Final Broadcast(Prep)'!I15/8*100),0)+IFERROR('REKAP TOTAL (Auto)'!N25*('Day 2- 2. Operation-Slides'!L15/5*100),0))/(IF(ISNUMBER(IFERROR('Day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8" s="77" t="n"/>
      <c r="E18" s="77" t="n"/>
      <c r="F18" s="77" t="n"/>
      <c r="G18" s="77" t="n"/>
      <c r="H18" s="77" t="n"/>
      <c r="I18" s="78" t="n"/>
    </row>
    <row r="19" ht="30" customHeight="1">
      <c r="B19" s="71" t="inlineStr">
        <is>
          <t>Karsa Tumbuh – Growth Oriented</t>
        </is>
      </c>
      <c r="C19" s="72">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(Auto)'!J26*('Day 2- 2. Operation the organization Protect'!I17/8*100),0)+IFERROR('REKAP TOTAL (Auto)'!M26*('Day 2 - 5.Final Broadcast(Prep)'!I14/8*100),0))/(IF(ISNUMBER(IFERROR('Day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19" s="73">
        <f>IFERROR('Day 2- 2. Operation the organization Protect'!I17/8*100,"")</f>
        <v/>
      </c>
      <c r="E19" s="73" t="n"/>
      <c r="F19" s="73" t="n"/>
      <c r="G19" s="73">
        <f>IFERROR('Day 2 - 5.Final Broadcast(Prep)'!I14/8*100,"")</f>
        <v/>
      </c>
      <c r="H19" s="73" t="n"/>
      <c r="I19" s="74" t="n"/>
    </row>
    <row r="20" ht="19.5" customHeight="1">
      <c r="B20" s="75" t="inlineStr">
        <is>
          <t xml:space="preserve">  → Karsa Tumbuh (kontribusi Day 2)</t>
        </is>
      </c>
      <c r="C20" s="76">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(Auto)'!J26*('Day 2- 2. Operation the organization Protect'!I17/8*100),0)+IFERROR('REKAP TOTAL (Auto)'!M26*('Day 2 - 5.Final Broadcast(Prep)'!I14/8*100),0))/(IF(ISNUMBER(IFERROR('Day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20" s="77" t="n"/>
      <c r="E20" s="77" t="n"/>
      <c r="F20" s="77" t="n"/>
      <c r="G20" s="77" t="n"/>
      <c r="H20" s="77" t="n"/>
      <c r="I20" s="78" t="n"/>
    </row>
    <row r="21" ht="30" customHeight="1">
      <c r="B21" s="71" t="inlineStr">
        <is>
          <t>Karsa Jaya – Excellence in Execution</t>
        </is>
      </c>
      <c r="C21" s="72">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(Auto)'!J27*('Day 2- 2. Operation the organization Protect'!I13/8*100),0)+IFERROR('REKAP TOTAL (Auto)'!N27*('Day 2- 2. Operation-Slides'!L14/5*100),0))/(IF(ISNUMBER(IFERROR('Day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1" s="73">
        <f>IFERROR('Day 2- 2. Operation the organization Protect'!I13/8*100,"")</f>
        <v/>
      </c>
      <c r="E21" s="73" t="n"/>
      <c r="F21" s="73" t="n"/>
      <c r="G21" s="73" t="n"/>
      <c r="H21" s="73">
        <f>IFERROR('Day 2- 2. Operation-Slides'!L14/5*100,"")</f>
        <v/>
      </c>
      <c r="I21" s="74" t="n"/>
    </row>
    <row r="22" ht="19.5" customHeight="1">
      <c r="B22" s="75" t="inlineStr">
        <is>
          <t xml:space="preserve">  → Karsa Jaya (kontribusi Day 2)</t>
        </is>
      </c>
      <c r="C22" s="76">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(Auto)'!J27*('Day 2- 2. Operation the organization Protect'!I13/8*100),0)+IFERROR('REKAP TOTAL (Auto)'!N27*('Day 2- 2. Operation-Slides'!L14/5*100),0))/(IF(ISNUMBER(IFERROR('Day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2" s="77" t="n"/>
      <c r="E22" s="77" t="n"/>
      <c r="F22" s="77" t="n"/>
      <c r="G22" s="77" t="n"/>
      <c r="H22" s="77" t="n"/>
      <c r="I22" s="78" t="n"/>
    </row>
    <row r="23" ht="24" customHeight="1">
      <c r="B23" s="79" t="inlineStr">
        <is>
          <t>NILAI AGREGAT 6 KARSA — kontribusi Day 2</t>
        </is>
      </c>
      <c r="C23" s="80">
        <f>IFERROR(AVERAGE(C9,C12,C15,C18,C20,C22),"")</f>
        <v/>
      </c>
      <c r="D23" s="81" t="n"/>
      <c r="E23" s="81" t="n"/>
      <c r="F23" s="81" t="n"/>
      <c r="G23" s="81" t="n"/>
      <c r="H23" s="81" t="n"/>
      <c r="I23" s="78" t="n"/>
    </row>
    <row r="24"/>
    <row r="25" ht="48" customHeight="1">
      <c r="B25" s="173" t="inlineStr">
        <is>
          <t>Kolom 'Kontribusi hari ini' = bagian skor Karsa yang berasal dari kegiatan Day 2 (memakai bobot framework &amp; pembagi global). Jumlah kontribusi Day 1+2+3 tiap Karsa = skor TOTAL di sheet 'Rekap 3 Hari'. Kolom kanan = nilai mentah 0–100 tiap kegiatan hari ini (hijau kuat, merah lemah).</t>
        </is>
      </c>
    </row>
    <row r="26"/>
    <row r="27">
      <c r="C27" t="n">
        <v>13.23529411764706</v>
      </c>
      <c r="D27" t="n">
        <v>13.23529411764706</v>
      </c>
      <c r="E27" t="n">
        <v>2.941176470588236</v>
      </c>
      <c r="F27" t="n">
        <v>16.17647058823529</v>
      </c>
      <c r="G27" t="n">
        <v>6.25</v>
      </c>
      <c r="H27" t="n">
        <v>1.875</v>
      </c>
      <c r="I27" t="n">
        <v>8.125</v>
      </c>
      <c r="J27" t="n">
        <v>0</v>
      </c>
      <c r="K27" t="n">
        <v>6.578947368421052</v>
      </c>
      <c r="L27" t="n">
        <v>6.578947368421052</v>
      </c>
      <c r="M27" t="n">
        <v>11.18421052631579</v>
      </c>
      <c r="N27" t="n">
        <v>0</v>
      </c>
      <c r="O27" t="n">
        <v>11.18421052631579</v>
      </c>
      <c r="P27" t="n">
        <v>24.375</v>
      </c>
      <c r="Q27" t="n">
        <v>24.375</v>
      </c>
      <c r="R27" t="n">
        <v>8.823529411764707</v>
      </c>
      <c r="S27" t="n">
        <v>8.823529411764707</v>
      </c>
      <c r="T27" t="n">
        <v>12.54385964912281</v>
      </c>
    </row>
    <row r="28">
      <c r="C28" t="n">
        <v>2.941176470588236</v>
      </c>
    </row>
    <row r="29">
      <c r="C29" t="n">
        <v>16.17647058823529</v>
      </c>
    </row>
    <row r="30">
      <c r="C30" t="n">
        <v>6.25</v>
      </c>
    </row>
    <row r="31">
      <c r="C31" t="n">
        <v>1.875</v>
      </c>
    </row>
    <row r="32">
      <c r="C32" t="n">
        <v>8.125</v>
      </c>
    </row>
    <row r="33">
      <c r="C33" t="n">
        <v>0</v>
      </c>
    </row>
    <row r="34">
      <c r="C34" t="n">
        <v>6.578947368421052</v>
      </c>
    </row>
    <row r="35">
      <c r="C35" t="n">
        <v>6.578947368421052</v>
      </c>
    </row>
    <row r="36">
      <c r="C36" t="n">
        <v>11.18421052631579</v>
      </c>
    </row>
    <row r="37">
      <c r="C37" t="n">
        <v>0</v>
      </c>
    </row>
    <row r="38">
      <c r="C38" t="n">
        <v>11.18421052631579</v>
      </c>
    </row>
    <row r="39">
      <c r="C39" t="n">
        <v>24.375</v>
      </c>
    </row>
    <row r="40">
      <c r="C40" t="n">
        <v>24.375</v>
      </c>
    </row>
    <row r="41">
      <c r="C41" t="n">
        <v>8.823529411764707</v>
      </c>
    </row>
    <row r="42">
      <c r="C42" t="n">
        <v>8.823529411764707</v>
      </c>
    </row>
    <row r="43">
      <c r="C43" t="n">
        <v>12.54385964912281</v>
      </c>
    </row>
  </sheetData>
  <mergeCells count="4">
    <mergeCell ref="E3:I3"/>
    <mergeCell ref="E5:H5"/>
    <mergeCell ref="B2:D2"/>
    <mergeCell ref="B25:I25"/>
  </mergeCells>
  <conditionalFormatting sqref="E7:H23">
    <cfRule type="colorScale" priority="2">
      <colorScale>
        <cfvo type="num" val="0"/>
        <cfvo type="num" val="50"/>
        <cfvo type="num" val="100"/>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A9D18E"/>
    <outlinePr summaryBelow="1" summaryRight="1"/>
    <pageSetUpPr/>
  </sheetPr>
  <dimension ref="A1:J42"/>
  <sheetViews>
    <sheetView topLeftCell="A7" zoomScale="86" zoomScaleNormal="86" workbookViewId="0">
      <selection activeCell="E12" sqref="E12:F19"/>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20.85546875" customWidth="1" style="30" min="5" max="5"/>
    <col width="43.7109375" customWidth="1" style="4" min="6" max="6"/>
    <col width="9.140625" customWidth="1" style="4" min="7" max="7"/>
    <col width="15.140625" customWidth="1" style="4" min="8" max="8"/>
    <col width="8.85546875" customWidth="1" style="4" min="9" max="16384"/>
  </cols>
  <sheetData>
    <row r="1"/>
    <row r="2" ht="15.75" customHeight="1">
      <c r="B2" s="36" t="inlineStr">
        <is>
          <t>Day 3 : Ignition: The Call to Perform</t>
        </is>
      </c>
      <c r="C2" s="36" t="n"/>
    </row>
    <row r="3"/>
    <row r="4" ht="15.75" customHeight="1">
      <c r="B4" s="36" t="inlineStr">
        <is>
          <t>Cara Pengisian:</t>
        </is>
      </c>
      <c r="C4" s="36" t="n"/>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41.25"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0" customHeight="1">
      <c r="B8" s="153" t="inlineStr">
        <is>
          <t>4 Jika terdapat bukti perilaku yang mencerminkan kompetensi lainnya yang tidak ada di lembar observasi, observer diperbolehkan mencantumkannya pada bagian catatan di akhir formulir.</t>
        </is>
      </c>
    </row>
    <row r="9"/>
    <row r="10" ht="63" customHeight="1">
      <c r="B10" s="40" t="inlineStr">
        <is>
          <t>Kompetensi</t>
        </is>
      </c>
      <c r="C10" s="40" t="inlineStr">
        <is>
          <t>Indikator Perilaku</t>
        </is>
      </c>
      <c r="D10" s="60" t="inlineStr">
        <is>
          <t>Contoh kalimat/perilaku</t>
        </is>
      </c>
      <c r="E10" s="44" t="inlineStr">
        <is>
          <t>Score
0 = Tidak terobservasi
1 = Terobservasi sebagian
2 = Terobservasi penuh (konsisten)</t>
        </is>
      </c>
      <c r="F10" s="96" t="inlineStr">
        <is>
          <t>Bukti Perilaku</t>
        </is>
      </c>
      <c r="H10" s="41" t="inlineStr">
        <is>
          <t>Kompetensi</t>
        </is>
      </c>
      <c r="I10" s="42" t="inlineStr">
        <is>
          <t>Score</t>
        </is>
      </c>
      <c r="J10" s="43" t="inlineStr">
        <is>
          <t>Band (per kegiatan)</t>
        </is>
      </c>
    </row>
    <row r="11" ht="30" customHeight="1">
      <c r="B11" s="149" t="n"/>
      <c r="C11" s="200" t="n"/>
      <c r="D11" s="201" t="n"/>
      <c r="E11" s="44" t="n"/>
      <c r="F11" s="149" t="n"/>
      <c r="H11" s="150">
        <f>B12</f>
        <v/>
      </c>
      <c r="I11" s="47">
        <f>IF(COUNT(E12:E15)=0,"",SUM(E12:E15))</f>
        <v/>
      </c>
      <c r="J11" s="48">
        <f>IF(COUNT(E12:E15)=0,"",IF(I11&lt;=2,"Sangat Jarang / Tidak Muncul",IF(I11&lt;=4,"Kadang-Kadang",IF(I11&lt;=6,"Sering Muncul","Konsisten Muncul"))))</f>
        <v/>
      </c>
    </row>
    <row r="12" ht="57" customHeight="1">
      <c r="B12" s="150" t="inlineStr">
        <is>
          <t>Karsa Satya:
General Observation</t>
        </is>
      </c>
      <c r="C12" s="46" t="inlineStr">
        <is>
          <t>Datang tepat waktu pada saat sesi</t>
        </is>
      </c>
      <c r="D12" s="46" t="inlineStr">
        <is>
          <t>Datang sebelum pembicara mulai menyampaikan materi
0 = terlambat (setelah pembicara sudah mulai)
1 = tepat waktu (sesaat pembicara mulai)</t>
        </is>
      </c>
      <c r="E12" s="49" t="n">
        <v>2</v>
      </c>
      <c r="F12" s="46" t="inlineStr">
        <is>
          <t>Datang tepat waktu saat sesi Ignition dan menggunakan pakaian Day 3 sesuai ketentuan.</t>
        </is>
      </c>
      <c r="H12" s="150">
        <f>B16</f>
        <v/>
      </c>
      <c r="I12" s="47">
        <f>IF(COUNT(E16:E19)=0,"",SUM(E16:E19))</f>
        <v/>
      </c>
      <c r="J12" s="48">
        <f>IF(COUNT(E16:E19)=0,"",IF(I12&lt;=2,"Sangat Jarang / Tidak Muncul",IF(I12&lt;=4,"Kadang-Kadang",IF(I12&lt;=6,"Sering Muncul","Konsisten Muncul"))))</f>
        <v/>
      </c>
    </row>
    <row r="13" ht="105" customHeight="1">
      <c r="B13" s="202" t="n"/>
      <c r="C13" s="46" t="inlineStr">
        <is>
          <t>Berpakaian rapi sesuai ketentuan aturan the organization</t>
        </is>
      </c>
      <c r="D13" s="50" t="inlineStr">
        <is>
          <t>Menggunakan dresscode rapi sesuai dengan ketentuan aturan the organization. 
Day 1: Professional office
Day 2: Berbatik
Day 3: Kaos Peserta + Blazer
0= salah dresscode
1= kurang rapi dengan ketentuan the organization
2 = sesuai ketentuan the organization</t>
        </is>
      </c>
      <c r="E13" s="44" t="n">
        <v>2</v>
      </c>
      <c r="F13" s="46" t="inlineStr">
        <is>
          <t>Menggunakan kaos peserta dan blazer sesuai ketentuan Day 3.</t>
        </is>
      </c>
    </row>
    <row r="14" ht="60" customHeight="1">
      <c r="B14" s="202" t="n"/>
      <c r="C14" s="46" t="inlineStr">
        <is>
          <t>Menunjukkan fokus dan perhatian penuh saat pembicara memaparkan materi.</t>
        </is>
      </c>
      <c r="D14" s="46" t="inlineStr">
        <is>
          <t>0 = Melakukan aktivitas lain hampir di seluruh sesi ketika orang lain berbicara (main hp, bermain laptop, tidur, keluar untuk waktu lama).
1 = Sesekali 
2 = Full Atensi</t>
        </is>
      </c>
      <c r="E14" s="44" t="n">
        <v>2</v>
      </c>
      <c r="F14" s="46" t="inlineStr">
        <is>
          <t>Mencatat materi slide, mengikuti sesi, dan mengerjakan reflection session tanpa catatan distraksi.</t>
        </is>
      </c>
    </row>
    <row r="15" ht="84" customHeight="1">
      <c r="B15" s="203" t="n"/>
      <c r="C15" s="46" t="inlineStr">
        <is>
          <t>Menunjukkan etika profesional dan memberikan respons apresiatif terhadap jalannya forum.</t>
        </is>
      </c>
      <c r="D15" s="46" t="inlineStr">
        <is>
          <t>Memberikan reaksi yang pantas saat berinteraksi dengan pembicara/MC (tidak hanya diam mematung).
1 = Merespons sapaan/instruksi sesekali saja, namun terkesan formalitas atau kurang antusias.
2 = Proaktif memberikan respons (menjawab salam, bertepuk tangan di momen yang tepat)</t>
        </is>
      </c>
      <c r="E15" s="44" t="n">
        <v>2</v>
      </c>
      <c r="F15" s="46" t="inlineStr">
        <is>
          <t>Mendengarkan dan memberi tepuk tangan ketika kelompok lain diberi kesempatan berpendapat.</t>
        </is>
      </c>
    </row>
    <row r="16" ht="36" customHeight="1">
      <c r="B16" s="150" t="inlineStr">
        <is>
          <t>Karsa Daya: GRIT</t>
        </is>
      </c>
      <c r="C16" s="46" t="inlineStr">
        <is>
          <t>Tetap fokus dan menunjukkan keterlibatan aktif sepanjang sesi meskipun durasi panjang atau materi kompleks</t>
        </is>
      </c>
      <c r="D16" s="46" t="inlineStr">
        <is>
          <t>Peserta mencatat poin penting dan merespons pertanyaan dari moderator tetap engaged sampai sesi akhir</t>
        </is>
      </c>
      <c r="E16" s="44" t="n">
        <v>1</v>
      </c>
      <c r="F16" s="46" t="inlineStr">
        <is>
          <t>Mengikuti sesi dan mencatat materi, namun belum ada bukti tambahan berupa respons aktif individual.</t>
        </is>
      </c>
    </row>
    <row r="17" ht="36" customHeight="1">
      <c r="B17" s="202" t="n"/>
      <c r="C17" s="46" t="inlineStr">
        <is>
          <t>Mengajukan pertanyaan atau komentar yang menunjukkan ketekunan dalam memahami materi, bukan sekadar permukaan</t>
        </is>
      </c>
      <c r="D17" s="46" t="inlineStr">
        <is>
          <t>Contoh pertanyaan: Tadi Ibu sebut logistik ekspor sempat drop saat kurs meingkat. Apa strategi baru yang akhirnya berhasil menjaga volume?</t>
        </is>
      </c>
      <c r="E17" s="44" t="n">
        <v>0</v>
      </c>
      <c r="F17" s="46" t="inlineStr">
        <is>
          <t>Belum ada bukti perilaku eksplisit pada catatan Day 3 yang tersedia untuk indikator ini</t>
        </is>
      </c>
    </row>
    <row r="18" ht="156" customHeight="1">
      <c r="B18" s="202" t="n"/>
      <c r="C18" s="46" t="inlineStr">
        <is>
          <t>Mempertahankan bahasa tubuh yang antusias sepanjang durasi acara.</t>
        </is>
      </c>
      <c r="D18" s="46" t="inlineStr">
        <is>
          <t>Tidak menunjukkan bahasa tubuh yang pasrah atau kelelahan ekstrem, terpisah dari sekadar "tidak main HP".
0 = Menunjukkan bahasa tubuh yang sangat malas (bersandar pasrah merosot di kursi, menunduk terus, wajah ditekuk) di sebagian besar sesi.
1 = Berusaha duduk tegak, namun sesekali terlihat sangat kelelahan, menguap lebar berulang kali, atau merebahkan kepala sesaat.
2 = Konsisten mempertahankan postur antusias (duduk tegap, pandangan mengarah ke panggung) dan menyimak sesi dari awal hingga akhir.</t>
        </is>
      </c>
      <c r="E18" s="44" t="n">
        <v>2</v>
      </c>
      <c r="F18" s="46" t="inlineStr">
        <is>
          <t>Tetap menunjukkan bahasa tubuh antusias; tidak ada catatan lelah, check-out, atau terdistraksi.</t>
        </is>
      </c>
    </row>
    <row r="19" ht="158.25" customHeight="1">
      <c r="B19" s="203" t="n"/>
      <c r="C19" s="46" t="inlineStr">
        <is>
          <t>Menunjukkan ketekunan menyimak pada saat sesi diskusi/Tanya Jawab (Q&amp;A) berlangsung, meskipun bukan dirinya yang bertanya.</t>
        </is>
      </c>
      <c r="D19" s="46" t="inlineStr">
        <is>
          <t>Mengukur fokus peserta saat mendengar pertanyaan dari rekan lain dan jawaban dari pembicara.
0 = Langsung check-out (mulai ngobrol santai dengan sebelah, membuka HP, atau terlihat tidak peduli) begitu sesi Q&amp;A dimulai.
1 = Tetap melihat ke arah panggung, namun pasif dan terlihat bosan/menurun fokusnya dibandingkan saat materi utama.
2 = Menyimak pertanyaan dari peserta lain dan jawaban dari pembicara dengan saksama (sama seriusnya dengan saat mendengarkan materi utama).</t>
        </is>
      </c>
      <c r="E19" s="44" t="n">
        <v>2</v>
      </c>
      <c r="F19" s="46" t="inlineStr">
        <is>
          <t>Menyimak sesi berbagi/tanya jawab dan tetap memberi respons apresiatif saat kelompok lain berbicara.</t>
        </is>
      </c>
    </row>
    <row r="20" ht="15.75" customHeight="1">
      <c r="B20" s="34" t="n"/>
      <c r="C20" s="34" t="n"/>
      <c r="D20" s="34" t="n"/>
      <c r="E20" s="33" t="n"/>
      <c r="F20" s="34" t="n"/>
    </row>
    <row r="21" ht="15.75" customHeight="1">
      <c r="B21" s="34" t="n"/>
      <c r="C21" s="34" t="n"/>
      <c r="D21" s="34" t="n"/>
      <c r="E21" s="33" t="n"/>
      <c r="F21" s="34" t="n"/>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B25" s="34" t="n"/>
      <c r="C25" s="34" t="n"/>
      <c r="D25" s="34" t="n"/>
      <c r="E25" s="33" t="n"/>
      <c r="F25" s="34" t="n"/>
    </row>
    <row r="26" ht="15.75" customHeight="1">
      <c r="B26" s="34" t="n"/>
      <c r="C26" s="34" t="n"/>
      <c r="D26" s="34" t="n"/>
      <c r="E26" s="33" t="n"/>
      <c r="F26" s="34" t="n"/>
    </row>
    <row r="27" ht="15.75" customHeight="1">
      <c r="B27" s="34" t="n"/>
      <c r="C27" s="34" t="n"/>
      <c r="D27" s="34" t="n"/>
      <c r="E27" s="33" t="n"/>
      <c r="F27" s="34" t="n"/>
    </row>
    <row r="28" ht="15.75" customHeight="1">
      <c r="B28" s="34" t="n"/>
      <c r="C28" s="34" t="n"/>
      <c r="D28" s="34" t="n"/>
      <c r="E28" s="33" t="n"/>
      <c r="F28" s="34" t="n"/>
    </row>
    <row r="29" ht="15.75" customHeight="1">
      <c r="B29" s="34" t="n"/>
      <c r="C29" s="34" t="n"/>
      <c r="D29" s="34" t="n"/>
      <c r="E29" s="33" t="n"/>
      <c r="F29" s="34" t="n"/>
    </row>
    <row r="30" ht="15.75" customHeight="1">
      <c r="B30" s="34" t="n"/>
      <c r="C30" s="34" t="n"/>
      <c r="D30" s="34" t="n"/>
      <c r="E30" s="33" t="n"/>
      <c r="F30" s="34" t="n"/>
    </row>
    <row r="31" ht="15.75" customHeight="1">
      <c r="B31" s="34" t="n"/>
      <c r="C31" s="34" t="n"/>
      <c r="D31" s="34" t="n"/>
      <c r="E31" s="33" t="n"/>
      <c r="F31" s="34" t="n"/>
    </row>
    <row r="32" ht="15.75" customHeight="1">
      <c r="B32" s="34" t="n"/>
      <c r="C32" s="34" t="n"/>
      <c r="D32" s="34" t="n"/>
      <c r="E32" s="33" t="n"/>
      <c r="F32" s="34" t="n"/>
    </row>
    <row r="33" ht="15.75" customHeight="1">
      <c r="B33" s="34" t="n"/>
      <c r="C33" s="34" t="n"/>
      <c r="D33" s="34" t="n"/>
      <c r="E33" s="33" t="n"/>
      <c r="F33" s="34" t="n"/>
    </row>
    <row r="34" ht="15.75" customHeight="1">
      <c r="B34" s="34" t="n"/>
      <c r="C34" s="34" t="n"/>
      <c r="D34" s="34" t="n"/>
      <c r="E34" s="33" t="n"/>
      <c r="F34" s="34" t="n"/>
    </row>
    <row r="35" ht="15.75" customHeight="1">
      <c r="B35" s="34" t="n"/>
      <c r="C35" s="34" t="n"/>
      <c r="D35" s="34" t="n"/>
      <c r="E35" s="33" t="n"/>
      <c r="F35" s="34" t="n"/>
    </row>
    <row r="36" ht="15.75" customHeight="1">
      <c r="B36" s="34" t="n"/>
      <c r="C36" s="34" t="n"/>
      <c r="D36" s="34" t="n"/>
      <c r="E36" s="33" t="n"/>
      <c r="F36" s="34" t="n"/>
    </row>
    <row r="37" ht="15.75" customHeight="1">
      <c r="B37" s="34" t="n"/>
      <c r="C37" s="34" t="n"/>
      <c r="D37" s="34" t="n"/>
      <c r="E37" s="33" t="n"/>
      <c r="F37" s="34" t="n"/>
    </row>
    <row r="38" ht="15.75" customHeight="1">
      <c r="B38" s="34" t="n"/>
      <c r="C38" s="34" t="n"/>
      <c r="D38" s="34" t="n"/>
      <c r="E38" s="33" t="n"/>
      <c r="F38" s="34" t="n"/>
    </row>
    <row r="39" ht="15.75" customHeight="1">
      <c r="B39" s="34" t="n"/>
      <c r="C39" s="34" t="n"/>
      <c r="D39" s="34" t="n"/>
      <c r="E39" s="33" t="n"/>
      <c r="F39" s="34" t="n"/>
    </row>
    <row r="40" ht="15.75" customHeight="1">
      <c r="B40" s="34" t="n"/>
      <c r="C40" s="34" t="n"/>
      <c r="D40" s="34" t="n"/>
      <c r="E40" s="33" t="n"/>
      <c r="F40" s="34" t="n"/>
    </row>
    <row r="41" ht="15.75" customHeight="1">
      <c r="B41" s="34" t="n"/>
      <c r="C41" s="34" t="n"/>
      <c r="D41" s="34" t="n"/>
      <c r="F41" s="34" t="n"/>
    </row>
    <row r="42" ht="15.75" customHeight="1">
      <c r="B42" s="34" t="n"/>
      <c r="C42" s="34" t="n"/>
      <c r="D42" s="34" t="n"/>
      <c r="F42" s="34" t="n"/>
    </row>
  </sheetData>
  <mergeCells count="7">
    <mergeCell ref="B11:D11"/>
    <mergeCell ref="B5:D5"/>
    <mergeCell ref="B8:D8"/>
    <mergeCell ref="B12:B15"/>
    <mergeCell ref="B7:D7"/>
    <mergeCell ref="B16:B19"/>
    <mergeCell ref="B6:D6"/>
  </mergeCells>
  <pageMargins left="0.7" right="0.7" top="0.75" bottom="0.75" header="0.511811023622047" footer="0.511811023622047"/>
  <pageSetup orientation="portrait" paperSize="9" horizontalDpi="300" verticalDpi="300"/>
</worksheet>
</file>

<file path=xl/worksheets/sheet22.xml><?xml version="1.0" encoding="utf-8"?>
<worksheet xmlns="http://schemas.openxmlformats.org/spreadsheetml/2006/main">
  <sheetPr>
    <tabColor rgb="FFA9D18E"/>
    <outlinePr summaryBelow="1" summaryRight="1"/>
    <pageSetUpPr/>
  </sheetPr>
  <dimension ref="A1:J33"/>
  <sheetViews>
    <sheetView topLeftCell="A7" zoomScale="84" zoomScaleNormal="84" workbookViewId="0">
      <selection activeCell="E13" sqref="E13:F20"/>
    </sheetView>
  </sheetViews>
  <sheetFormatPr baseColWidth="8" defaultColWidth="26" defaultRowHeight="15.75" customHeight="1"/>
  <cols>
    <col width="4.42578125" customWidth="1" style="4" min="1" max="1"/>
    <col width="20.28515625" customWidth="1" style="4" min="2" max="2"/>
    <col width="41.42578125" customWidth="1" style="4" min="3" max="3"/>
    <col width="35.7109375" customWidth="1" style="4" min="4" max="4"/>
    <col width="18.140625" customWidth="1" style="30" min="5" max="5"/>
    <col width="43.7109375" customWidth="1" style="4" min="6" max="6"/>
    <col width="16.42578125" customWidth="1" style="4" min="7" max="7"/>
    <col width="14.7109375" customWidth="1" style="4" min="8" max="9"/>
    <col width="26" customWidth="1" style="4" min="10" max="16384"/>
  </cols>
  <sheetData>
    <row r="1"/>
    <row r="2" ht="15.75" customHeight="1">
      <c r="B2" s="36" t="inlineStr">
        <is>
          <t>Day  3:  2. Speed Coaching Indv Reflection</t>
        </is>
      </c>
      <c r="C2" s="36" t="n"/>
    </row>
    <row r="3"/>
    <row r="4" ht="15.75" customHeight="1">
      <c r="B4" s="151" t="inlineStr">
        <is>
          <t>Cara Pengisian:</t>
        </is>
      </c>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54"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26.25" customHeight="1">
      <c r="B8" s="153" t="inlineStr">
        <is>
          <t>4 Jika terdapat bukti perilaku yang mencerminkan kompetensi lainnya yang tidak ada di lembar observasi, observer diperbolehkan mencantumkannya pada bagian catatan di akhir formulir.</t>
        </is>
      </c>
    </row>
    <row r="9" ht="26.25" customHeight="1">
      <c r="B9" s="153" t="n"/>
      <c r="C9" s="153" t="n"/>
      <c r="D9" s="153" t="n"/>
    </row>
    <row r="10" ht="12" customHeight="1">
      <c r="B10" s="153" t="n"/>
      <c r="C10" s="153" t="n"/>
      <c r="D10" s="153" t="n"/>
    </row>
    <row r="11" ht="62.25" customHeight="1">
      <c r="B11" s="40" t="inlineStr">
        <is>
          <t>Kompetensi</t>
        </is>
      </c>
      <c r="C11" s="40" t="inlineStr">
        <is>
          <t>Indikator Perilaku</t>
        </is>
      </c>
      <c r="D11" s="40" t="inlineStr">
        <is>
          <t>Contoh kalimat/perilaku</t>
        </is>
      </c>
      <c r="E11" s="44" t="inlineStr">
        <is>
          <t>Score
0 = Tidak terobservasi
1 = Terobservasi sebagian
2 = Terobservasi penuh (konsisten)</t>
        </is>
      </c>
      <c r="F11" s="40" t="inlineStr">
        <is>
          <t>Bukti Perilaku</t>
        </is>
      </c>
      <c r="H11" s="41" t="inlineStr">
        <is>
          <t>Kompetensi</t>
        </is>
      </c>
      <c r="I11" s="42" t="inlineStr">
        <is>
          <t>Score</t>
        </is>
      </c>
      <c r="J11" s="43" t="inlineStr">
        <is>
          <t>Band (per kegiatan)</t>
        </is>
      </c>
    </row>
    <row r="12" ht="30" customHeight="1">
      <c r="B12" s="149" t="n"/>
      <c r="C12" s="200" t="n"/>
      <c r="D12" s="201" t="n"/>
      <c r="E12" s="44" t="n"/>
      <c r="F12" s="149" t="n"/>
      <c r="H12" s="150">
        <f>B13</f>
        <v/>
      </c>
      <c r="I12" s="47">
        <f>IF(COUNT(E13:E16)=0,"",SUM(E13:E16))</f>
        <v/>
      </c>
      <c r="J12" s="48">
        <f>IF(COUNT(E13:E16)=0,"",IF(I12&lt;=2,"Sangat Jarang / Tidak Muncul",IF(I12&lt;=4,"Kadang-Kadang",IF(I12&lt;=6,"Sering Muncul","Konsisten Muncul"))))</f>
        <v/>
      </c>
    </row>
    <row r="13" ht="41.25" customHeight="1">
      <c r="B13" s="150" t="inlineStr">
        <is>
          <t>Karsa Rasa: 
Building Partnership</t>
        </is>
      </c>
      <c r="C13" s="46" t="inlineStr">
        <is>
          <t>Menunjukkan kemampuan mendengarkan aktif (active listening) dan membangun kenyamanan.</t>
        </is>
      </c>
      <c r="D13" s="46" t="inlineStr">
        <is>
          <t>Menjaga kontak mata penuh, mengangguk cepat, , dan mencondongkan badan ke depan saat coachee berbicara.</t>
        </is>
      </c>
      <c r="E13" s="49" t="n">
        <v>2</v>
      </c>
      <c r="F13" s="46" t="inlineStr">
        <is>
          <t>Mendengarkan dengan senyuman, menggunakan gesture saat menjelaskan, dan mengajukan klarifikasi untuk memahami konteks coachee.</t>
        </is>
      </c>
      <c r="H13" s="150">
        <f>B17</f>
        <v/>
      </c>
      <c r="I13" s="47">
        <f>IF(COUNT(E17:E20)=0,"",SUM(E17:E20))</f>
        <v/>
      </c>
      <c r="J13" s="48">
        <f>IF(COUNT(E17:E20)=0,"",IF(I13&lt;=2,"Sangat Jarang / Tidak Muncul",IF(I13&lt;=4,"Kadang-Kadang",IF(I13&lt;=6,"Sering Muncul","Konsisten Muncul"))))</f>
        <v/>
      </c>
    </row>
    <row r="14" ht="41.25" customHeight="1">
      <c r="B14" s="202" t="n"/>
      <c r="C14" s="46" t="inlineStr">
        <is>
          <t>Menunjukkan sikap empati dan tidak menghakimi (non-judgmental) terhadap keluhan atau kelemahan yang diungkapkan coachee.</t>
        </is>
      </c>
      <c r="D14" s="34" t="inlineStr">
        <is>
          <t>Memberikan 1 kalimat penegasan bahwa ia paham. "Oke, saya tangkap poin hambatannya..."</t>
        </is>
      </c>
      <c r="E14" s="49" t="n">
        <v>1</v>
      </c>
      <c r="F14" s="46" t="inlineStr">
        <is>
          <t>Berusaha memahami konteks coachee melalui pertanyaan klarifikasi; belum ada kalimat empati eksplisit yang tercatat.</t>
        </is>
      </c>
    </row>
    <row r="15" ht="54" customHeight="1">
      <c r="B15" s="202" t="n"/>
      <c r="C15" s="34" t="inlineStr">
        <is>
          <t>Memastikan coachee paham dengan poin feedback secara cepat sebelum melangkah ke solusi.</t>
        </is>
      </c>
      <c r="D15" s="46" t="inlineStr">
        <is>
          <t>Bertanya singkat untuk memastikan coachee satu pemikiran sebelum masuk ke solusi.
"Kebayang ya maksud saya?" atau "Sepakat?"</t>
        </is>
      </c>
      <c r="E15" s="49" t="n">
        <v>1</v>
      </c>
      <c r="F15" s="46" t="inlineStr">
        <is>
          <t>Ada proses klarifikasi dua arah, namun belum ada bukti eksplisit memastikan coachee memahami feedback.</t>
        </is>
      </c>
    </row>
    <row r="16" ht="41.25" customHeight="1">
      <c r="B16" s="203" t="n"/>
      <c r="C16" s="46" t="inlineStr">
        <is>
          <t>Berbicara dengan nada yang tenang, stabil, dan tidak terdengar panik/terburu-buru meskipun dibatasi waktu.</t>
        </is>
      </c>
      <c r="D16" s="46" t="inlineStr">
        <is>
          <t>Mampu bebicara dengan tempo yang stabil tanpa ada yang dipercepat.</t>
        </is>
      </c>
      <c r="E16" s="49" t="n">
        <v>2</v>
      </c>
      <c r="F16" s="46" t="inlineStr">
        <is>
          <t>Berbicara tenang dan tidak terburu-buru saat coaching.</t>
        </is>
      </c>
    </row>
    <row r="17" ht="60" customHeight="1">
      <c r="B17" s="150" t="inlineStr">
        <is>
          <t>Karsa Mahira:
Relevant to Market &amp; Proactive</t>
        </is>
      </c>
      <c r="C17" s="87" t="inlineStr">
        <is>
          <t>Mengajukan pertanyaan terbuka yang disesuaikan konteks coachee (tidak hanya membaca 4 template dari guideline), dengan follow-up yang menggali sampai dapat insight substantif.</t>
        </is>
      </c>
      <c r="D17" s="46" t="inlineStr">
        <is>
          <t>cek apakah ia hanya membacakan doang atau ada modifikasi dari template</t>
        </is>
      </c>
      <c r="E17" s="49" t="n">
        <v>1</v>
      </c>
      <c r="F17" s="46" t="inlineStr">
        <is>
          <t>Mengajukan pertanyaan klarifikasi sesuai konteks dan menyeimbangkan pertanyaan dengan saran, tetapi follow-up substantif belum sekuat peserta lain.</t>
        </is>
      </c>
    </row>
    <row r="18" ht="41.25" customHeight="1">
      <c r="B18" s="202" t="n"/>
      <c r="C18" s="87" t="inlineStr">
        <is>
          <t>Memberikan saran yang spesifik, actionable, &amp; relevan dengan konteks kerja the organization</t>
        </is>
      </c>
      <c r="D18" s="46" t="inlineStr">
        <is>
          <t>Perlu bisa memberikan saran yang bisa taktis dan langsung dieksekusi. 
"Kalau di cabang kamu, coba approach atasan dengan data X dari sistem Y, lalu refer ke pengalaman sukses kasus Z."</t>
        </is>
      </c>
      <c r="E18" s="49" t="n">
        <v>2</v>
      </c>
      <c r="F18" s="46" t="inlineStr">
        <is>
          <t>Memberikan saran yang jelas, praktis, dan relevan dengan kebutuhan coachee.</t>
        </is>
      </c>
    </row>
    <row r="19" ht="41.25" customHeight="1">
      <c r="B19" s="202" t="n"/>
      <c r="C19" s="87" t="inlineStr">
        <is>
          <t>Mengelola waktu dengan efisien</t>
        </is>
      </c>
      <c r="D19" s="46" t="inlineStr">
        <is>
          <t>Apakah coach jadi semakin mampu memanfaatkan 4 menitnya agar bisa sampai ke action plan (mayoritas yang ada di guideline ke cover)</t>
        </is>
      </c>
      <c r="E19" s="49" t="n">
        <v>1</v>
      </c>
      <c r="F19" s="46" t="inlineStr">
        <is>
          <t>Alur coaching berjalan cukup lengkap, tetapi belum ada bukti eksplisit mencapai action plan atau penutupan sebelum waktu habis.</t>
        </is>
      </c>
    </row>
    <row r="20" ht="41.25" customHeight="1">
      <c r="B20" s="203" t="n"/>
      <c r="C20" s="87" t="inlineStr">
        <is>
          <t>Secara proaktif memastikan adanya komitmen akhir (closing commitment) dari coachee sebelum durasi speed coaching berakhir.</t>
        </is>
      </c>
      <c r="D20" s="46" t="inlineStr">
        <is>
          <t>Meminta penegasan komitmen dari coachee di 15 detik terakhir sebelum bel berbunyi.</t>
        </is>
      </c>
      <c r="E20" s="51" t="n">
        <v>0</v>
      </c>
      <c r="F20" s="46" t="inlineStr">
        <is>
          <t>Belum ada bukti perilaku eksplisit pada catatan Day 3 yang tersedia untuk indikator ini</t>
        </is>
      </c>
    </row>
    <row r="21" ht="12" customHeight="1">
      <c r="B21" s="34" t="n"/>
      <c r="C21" s="34" t="n"/>
      <c r="D21" s="34" t="n"/>
      <c r="E21" s="33" t="n"/>
      <c r="F21" s="34" t="n"/>
    </row>
    <row r="22" ht="15.75" customHeight="1">
      <c r="B22" s="34" t="n"/>
      <c r="C22" s="34" t="n"/>
      <c r="D22" s="34" t="n"/>
      <c r="E22" s="33" t="n"/>
      <c r="F22" s="34" t="n"/>
    </row>
    <row r="23" ht="15.75" customHeight="1">
      <c r="B23" s="34" t="n"/>
      <c r="C23" s="34" t="n"/>
      <c r="D23" s="34" t="n"/>
      <c r="E23" s="33" t="n"/>
      <c r="F23" s="34" t="n"/>
    </row>
    <row r="24" ht="15.75" customHeight="1">
      <c r="B24" s="34" t="n"/>
      <c r="C24" s="34" t="n"/>
      <c r="D24" s="34" t="n"/>
      <c r="E24" s="33" t="n"/>
      <c r="F24" s="34" t="n"/>
    </row>
    <row r="25" ht="15.75" customHeight="1">
      <c r="B25" s="34" t="n"/>
      <c r="C25" s="34" t="n"/>
      <c r="D25" s="34" t="n"/>
      <c r="E25" s="33" t="n"/>
      <c r="F25" s="34" t="n"/>
    </row>
    <row r="26" ht="15.75" customHeight="1">
      <c r="B26" s="34" t="n"/>
      <c r="C26" s="34" t="n"/>
      <c r="D26" s="34" t="n"/>
      <c r="E26" s="33" t="n"/>
      <c r="F26" s="34" t="n"/>
    </row>
    <row r="27" ht="15.75" customHeight="1">
      <c r="B27" s="34" t="n"/>
      <c r="C27" s="34" t="n"/>
      <c r="D27" s="34" t="n"/>
      <c r="E27" s="33" t="n"/>
      <c r="F27" s="34" t="n"/>
    </row>
    <row r="28" ht="15.75" customHeight="1">
      <c r="B28" s="34" t="n"/>
      <c r="C28" s="34" t="n"/>
      <c r="D28" s="34" t="n"/>
      <c r="E28" s="33" t="n"/>
      <c r="F28" s="34" t="n"/>
    </row>
    <row r="29" ht="15.75" customHeight="1">
      <c r="B29" s="34" t="n"/>
      <c r="C29" s="34" t="n"/>
      <c r="D29" s="34" t="n"/>
      <c r="E29" s="33" t="n"/>
      <c r="F29" s="34" t="n"/>
    </row>
    <row r="30" ht="15.75" customHeight="1">
      <c r="E30" s="33" t="n"/>
    </row>
    <row r="31" ht="15.75" customHeight="1">
      <c r="E31" s="33" t="n"/>
    </row>
    <row r="32" ht="15.75" customHeight="1">
      <c r="E32" s="33" t="n"/>
    </row>
    <row r="33" ht="15.75" customHeight="1">
      <c r="E33" s="33" t="n"/>
    </row>
  </sheetData>
  <mergeCells count="8">
    <mergeCell ref="B13:B16"/>
    <mergeCell ref="B5:D5"/>
    <mergeCell ref="B17:B20"/>
    <mergeCell ref="B8:D8"/>
    <mergeCell ref="B4:D4"/>
    <mergeCell ref="B12:D12"/>
    <mergeCell ref="B7:D7"/>
    <mergeCell ref="B6:D6"/>
  </mergeCells>
  <pageMargins left="0.7" right="0.7" top="0.75" bottom="0.75" header="0.511811023622047" footer="0.511811023622047"/>
  <pageSetup orientation="portrait" paperSize="9" horizontalDpi="300" verticalDpi="300"/>
</worksheet>
</file>

<file path=xl/worksheets/sheet23.xml><?xml version="1.0" encoding="utf-8"?>
<worksheet xmlns="http://schemas.openxmlformats.org/spreadsheetml/2006/main">
  <sheetPr>
    <tabColor rgb="FFA9D18E"/>
    <outlinePr summaryBelow="1" summaryRight="1"/>
    <pageSetUpPr/>
  </sheetPr>
  <dimension ref="A1:M31"/>
  <sheetViews>
    <sheetView topLeftCell="E13" zoomScale="64" zoomScaleNormal="64" workbookViewId="0">
      <selection activeCell="I13" sqref="I13:I16"/>
    </sheetView>
  </sheetViews>
  <sheetFormatPr baseColWidth="8" defaultColWidth="8.85546875" defaultRowHeight="15.75" customHeight="1"/>
  <cols>
    <col width="4.42578125" customWidth="1" style="4" min="1" max="1"/>
    <col width="20.28515625" customWidth="1" style="4" min="2" max="2"/>
    <col width="41.42578125" customWidth="1" style="4" min="3" max="3"/>
    <col width="32.7109375" customWidth="1" style="4" min="4" max="4"/>
    <col width="31" customWidth="1" style="4" min="5" max="5"/>
    <col width="32.140625" customWidth="1" style="4" min="6" max="6"/>
    <col width="28.85546875" customWidth="1" style="4" min="7" max="7"/>
    <col width="37.7109375" customWidth="1" style="4" min="8" max="8"/>
    <col width="11.140625" customWidth="1" style="30" min="9" max="9"/>
    <col width="8.85546875" customWidth="1" style="4" min="10" max="10"/>
    <col width="14.28515625" customWidth="1" style="4" min="11" max="11"/>
    <col width="8.85546875" customWidth="1" style="4" min="12" max="16384"/>
  </cols>
  <sheetData>
    <row r="1"/>
    <row r="2" ht="15.75" customHeight="1">
      <c r="B2" s="36" t="inlineStr">
        <is>
          <t>Day  3:  2. Speed Coaching Indv Reflection</t>
        </is>
      </c>
      <c r="C2" s="36" t="n"/>
    </row>
    <row r="3"/>
    <row r="4" ht="15.75" customHeight="1">
      <c r="B4" s="151" t="inlineStr">
        <is>
          <t>Cara Pengisian:</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54"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26.25" customHeight="1">
      <c r="B8" s="153" t="inlineStr">
        <is>
          <t>4 Jika terdapat bukti perilaku yang mencerminkan kompetensi lainnya yang tidak ada di lembar observasi, observer diperbolehkan mencantumkannya pada bagian catatan di akhir formulir.</t>
        </is>
      </c>
    </row>
    <row r="9" ht="15.75" customHeight="1">
      <c r="B9" s="152" t="n"/>
    </row>
    <row r="10"/>
    <row r="11" ht="26.25" customHeight="1">
      <c r="B11" s="180" t="inlineStr">
        <is>
          <t>Aspek Penilaian</t>
        </is>
      </c>
      <c r="C11" s="180" t="inlineStr">
        <is>
          <t xml:space="preserve">Pertanyaan </t>
        </is>
      </c>
      <c r="D11" s="181" t="inlineStr">
        <is>
          <t>Indikator Jawaban Refleksi</t>
        </is>
      </c>
      <c r="E11" s="200" t="n"/>
      <c r="F11" s="200" t="n"/>
      <c r="G11" s="200" t="n"/>
      <c r="H11" s="201" t="n"/>
      <c r="I11" s="181" t="inlineStr">
        <is>
          <t>Skor</t>
        </is>
      </c>
    </row>
    <row r="12" ht="30" customHeight="1">
      <c r="B12" s="203" t="n"/>
      <c r="C12" s="203" t="n"/>
      <c r="D12" s="180" t="n">
        <v>1</v>
      </c>
      <c r="E12" s="180" t="n">
        <v>2</v>
      </c>
      <c r="F12" s="180" t="n">
        <v>3</v>
      </c>
      <c r="G12" s="180" t="n">
        <v>4</v>
      </c>
      <c r="H12" s="180" t="n">
        <v>5</v>
      </c>
      <c r="I12" s="181" t="n"/>
      <c r="K12" s="41" t="inlineStr">
        <is>
          <t>Kompetensi</t>
        </is>
      </c>
      <c r="L12" s="42" t="inlineStr">
        <is>
          <t>Score</t>
        </is>
      </c>
      <c r="M12" s="43" t="inlineStr">
        <is>
          <t>Band (per kegiatan)</t>
        </is>
      </c>
    </row>
    <row r="13" ht="88.5" customHeight="1">
      <c r="B13" s="50" t="inlineStr">
        <is>
          <t>Karsa Satya - 
Being Sensitive to Risk</t>
        </is>
      </c>
      <c r="C13" s="46" t="inlineStr">
        <is>
          <t>"Ceritakan secara singkat tantangan atau permasalahan utama yang sedang Anda hadapi yang menghalangi Anda mencapai tujuan Anda.
Secara objektif dan jujur, menurut Anda apa kelemahan atau peran Anda sendiri yang turut berkontribusi memunculkan masalah tersebut?"</t>
        </is>
      </c>
      <c r="D13" s="46" t="inlineStr">
        <is>
          <t>Jawaban murni denial atau playing victim. Coachee hanya menyalahkan orang lain, sistem, nasib, atau atasan tanpa menuliskan satupun kelemahan dirinya.</t>
        </is>
      </c>
      <c r="E13" s="46" t="inlineStr">
        <is>
          <t>Menuliskan masalah, namun saat diminta kelemahan diri, jawabannya bersifat defensif atau mencari pembenaran (misal: "Saya kurang teliti, tapi itu karena beban kerja dari atasan terlalu banyak").</t>
        </is>
      </c>
      <c r="F13" s="46" t="inlineStr">
        <is>
          <t>Mampu menuliskan masalah dan mengakui kelemahan diri secara cukup standar (misal: "Saya kurang time management"), namun refleksinya kurang mendalam.</t>
        </is>
      </c>
      <c r="G13" s="46" t="inlineStr">
        <is>
          <t>Jawaban menunjukkan refleksi yang baik dan objektif. Coachee berani mengidentifikasi peran/kesalahannya secara spesifik dan proporsional</t>
        </is>
      </c>
      <c r="H13" s="46" t="inlineStr">
        <is>
          <t>Jawaban menunjukkan tingkat kesadaran diri yang sangat matang. Coachee membedah akar masalah secara berani, jujur mengakui kelemahan dirinya tanpa alasan (excuses), dan menunjukkan sikap bertanggung jawab penuh.</t>
        </is>
      </c>
      <c r="I13" s="47" t="n">
        <v>3</v>
      </c>
      <c r="K13" s="46">
        <f>B13</f>
        <v/>
      </c>
      <c r="L13" s="47">
        <f>IF(I13="","",I13)</f>
        <v/>
      </c>
      <c r="M13" s="48">
        <f>IFERROR(IF(L13&lt;=1.25,"Sangat Jarang / Tidak Muncul",IF(L13&lt;=2.5,"Kadang-Kadang",IF(L13&lt;=3.75,"Sering Muncul","Konsisten Muncul"))),"")</f>
        <v/>
      </c>
    </row>
    <row r="14" ht="78.75" customHeight="1">
      <c r="B14" s="46" t="inlineStr">
        <is>
          <t>Karsa Mahira - 
Being Proactive, Relevant to Market</t>
        </is>
      </c>
      <c r="C14" s="46" t="inlineStr">
        <is>
          <t>"Dari permasalahan di atas, bantuan, saran, atau sudut pandang spesifik seperti apa yang paling Anda butuhkan dari seorang Coach pada sesi singkat ini?"</t>
        </is>
      </c>
      <c r="D14" s="46" t="inlineStr">
        <is>
          <t>Jawaban sangat berbelit-belit, tidak jelas arahnya, atau Coachee menjawab "tidak tahu" / "terserah coach saja".</t>
        </is>
      </c>
      <c r="E14" s="46" t="inlineStr">
        <is>
          <t>Jawaban masih terlalu mengambang dan berupa curhatan panjang lebar. Kebutuhan coaching-nya tidak tergambar dengan jelas.</t>
        </is>
      </c>
      <c r="F14" s="46" t="inlineStr">
        <is>
          <t>Menuliskan harapan saran, namun masih bersifat sangat umum/normatif (misal: "Saya butuh saran agar bisa bekerja lebih baik").</t>
        </is>
      </c>
      <c r="G14" s="46" t="inlineStr">
        <is>
          <t>Jawaban terstruktur dan cukup fokus. Coachee sudah mengetahui area spesifik apa yang ingin didiskusikan dengan coach.</t>
        </is>
      </c>
      <c r="H14" s="46" t="inlineStr">
        <is>
          <t>Jawaban sangat tajam, padat, dan terarah. Coachee merumuskan ekspektasi/pertanyaannya secara spesifik, menunjukkan bahwa ia sudah memetakan kebutuhannya secara cerdas sebelum bertemu coach.</t>
        </is>
      </c>
      <c r="I14" s="47" t="n">
        <v>4</v>
      </c>
      <c r="K14" s="46">
        <f>B14</f>
        <v/>
      </c>
      <c r="L14" s="47">
        <f>IF(I14="","",I14)</f>
        <v/>
      </c>
      <c r="M14" s="48">
        <f>IFERROR(IF(L14&lt;=1.25,"Sangat Jarang / Tidak Muncul",IF(L14&lt;=2.5,"Kadang-Kadang",IF(L14&lt;=3.75,"Sering Muncul","Konsisten Muncul"))),"")</f>
        <v/>
      </c>
    </row>
    <row r="15" ht="81" customHeight="1">
      <c r="B15" s="46" t="inlineStr">
        <is>
          <t>Karsa Rasa - 
Building Partnership</t>
        </is>
      </c>
      <c r="C15" s="46" t="inlineStr">
        <is>
          <t>"Setelah berdiskusi dengan Coach, insight (sudut pandang baru) atau masukan apa yang paling menyadarkan Anda?
Bagaimana respons atau sikap Anda secara pribadi terhadap masukan tersebut?"</t>
        </is>
      </c>
      <c r="D15" s="46" t="inlineStr">
        <is>
          <t>Jawaban menunjukkan sikap tertutup atau antipati. (Misal: "Masukannya biasa saja", "Saran coach tidak relevan dengan kondisi saya").</t>
        </is>
      </c>
      <c r="E15" s="46" t="inlineStr">
        <is>
          <t>Menuliskan masukan coach, tapi diiringi nada pesimis, skeptis, atau defensif secara tertulis (Misal: "Masukannya bagus, tapi kayaknya susah diterapkan di tempat saya").</t>
        </is>
      </c>
      <c r="F15" s="46" t="inlineStr">
        <is>
          <t>Menerima masukan secara normatif dan pasif. Jawaban terkesan template tanpa menunjukkan adanya Aha! moment (Misal: "Insightnya bagus, saya akan coba lebih sabar").</t>
        </is>
      </c>
      <c r="G15" s="46" t="inlineStr">
        <is>
          <t>Jawaban menunjukkan sikap apresiatif dan pikiran yang terbuka. Coachee mampu menangkap nilai positif dari feedback coach dan menunjukkan kemauan belajar.</t>
        </is>
      </c>
      <c r="H15" s="46" t="inlineStr">
        <is>
          <t>Jawaban menunjukkan kolaborasi pikiran dan antusiasme tinggi. Coachee mendeskripsikan pergeseran paradigma (paradigm shift) yang ia alami dan sangat menghargai reframing yang diberikan oleh coach.</t>
        </is>
      </c>
      <c r="I15" s="47" t="n">
        <v>4</v>
      </c>
      <c r="K15" s="46">
        <f>B15</f>
        <v/>
      </c>
      <c r="L15" s="47">
        <f>IF(I15="","",I15)</f>
        <v/>
      </c>
      <c r="M15" s="48">
        <f>IFERROR(IF(L15&lt;=1.25,"Sangat Jarang / Tidak Muncul",IF(L15&lt;=2.5,"Kadang-Kadang",IF(L15&lt;=3.75,"Sering Muncul","Konsisten Muncul"))),"")</f>
        <v/>
      </c>
    </row>
    <row r="16" ht="68.25" customHeight="1">
      <c r="B16" s="46" t="inlineStr">
        <is>
          <t>Karsa Daya - 
Navigating Agility</t>
        </is>
      </c>
      <c r="C16" s="46" t="inlineStr">
        <is>
          <t>"Berdasarkan masukan dari Coach, tuliskan minimal 2 Langkah Konkret (Action Plan) yang akan segera Anda lakukan dalam 1 minggu ke depan untuk memperbaiki masalah Anda!"</t>
        </is>
      </c>
      <c r="D16" s="46" t="inlineStr">
        <is>
          <t>Tidak menuliskan langkah konkret sama sekali, atau rencana yang ditulis benar-benar tidak realistis / tidak nyambung dengan masalah awal.</t>
        </is>
      </c>
      <c r="E16" s="46" t="inlineStr">
        <is>
          <t>Action plan yang ditulis masih berupa angan-angan atau niat abstrak, bukan tindakan operasional (Misal: "Saya akan mencoba berpikir positif dan lebih bersemangat").</t>
        </is>
      </c>
      <c r="F16" s="46" t="inlineStr">
        <is>
          <t>Menuliskan rencana tindakan, namun kurang terukur atau tidak bisa dinilai keberhasilannya dalam waktu dekat (Misal: "Saya akan mulai merapikan pekerjaan saya").</t>
        </is>
      </c>
      <c r="G16" s="46" t="inlineStr">
        <is>
          <t>Jawaban berupa langkah tindakan yang spesifik, relevan dengan saran coach, dan sangat mungkin dieksekusi oleh coachee dalam waktu dekat.</t>
        </is>
      </c>
      <c r="H16" s="46" t="inlineStr">
        <is>
          <t>Action plan sangat taktis, spesifik, agile, dan memiliki target waktu/ukuran yang jelas. Menunjukkan komitmen dan ketangguhan mental coachee untuk segera berubah (Misal: "Senin besok saya akan jadwalkan meeting 15 menit dengan tim untuk sinkronisasi data A, lalu...").</t>
        </is>
      </c>
      <c r="I16" s="47" t="n">
        <v>4</v>
      </c>
      <c r="K16" s="46">
        <f>B16</f>
        <v/>
      </c>
      <c r="L16" s="47">
        <f>IF(I16="","",I16)</f>
        <v/>
      </c>
      <c r="M16" s="48">
        <f>IFERROR(IF(L16&lt;=1.25,"Sangat Jarang / Tidak Muncul",IF(L16&lt;=2.5,"Kadang-Kadang",IF(L16&lt;=3.75,"Sering Muncul","Konsisten Muncul"))),"")</f>
        <v/>
      </c>
    </row>
    <row r="17" ht="15.75" customHeight="1">
      <c r="B17" s="34" t="n"/>
      <c r="C17" s="34" t="n"/>
      <c r="D17" s="34" t="n"/>
      <c r="E17" s="34" t="n"/>
      <c r="F17" s="34" t="n"/>
    </row>
    <row r="18" ht="15.75" customHeight="1">
      <c r="B18" s="34" t="n"/>
      <c r="C18" s="34" t="n"/>
      <c r="D18" s="34" t="n"/>
      <c r="E18" s="34" t="n"/>
      <c r="F18" s="34" t="n"/>
    </row>
    <row r="19" ht="15.75" customHeight="1">
      <c r="B19" s="34" t="n"/>
      <c r="C19" s="34" t="n"/>
      <c r="D19" s="34" t="n"/>
      <c r="E19" s="34" t="n"/>
      <c r="F19" s="34" t="n"/>
    </row>
    <row r="20" ht="15.75" customHeight="1">
      <c r="B20" s="34" t="n"/>
      <c r="C20" s="34" t="n"/>
      <c r="D20" s="34" t="n"/>
      <c r="E20" s="34" t="n"/>
      <c r="F20" s="34" t="n"/>
    </row>
    <row r="21" ht="15.75" customHeight="1">
      <c r="B21" s="34" t="n"/>
      <c r="C21" s="34" t="n"/>
      <c r="D21" s="34" t="n"/>
      <c r="E21" s="34" t="n"/>
      <c r="F21" s="34" t="n"/>
    </row>
    <row r="22" ht="15.75" customHeight="1">
      <c r="B22" s="34" t="n"/>
      <c r="C22" s="34" t="n"/>
      <c r="D22" s="34" t="n"/>
      <c r="E22" s="34" t="n"/>
      <c r="F22" s="34" t="n"/>
    </row>
    <row r="23" ht="15.75" customHeight="1">
      <c r="B23" s="34" t="n"/>
      <c r="C23" s="34" t="n"/>
      <c r="D23" s="34" t="n"/>
      <c r="E23" s="34" t="n"/>
      <c r="F23" s="34" t="n"/>
    </row>
    <row r="24" ht="15.75" customHeight="1">
      <c r="B24" s="34" t="n"/>
      <c r="C24" s="34" t="n"/>
      <c r="D24" s="34" t="n"/>
      <c r="E24" s="34" t="n"/>
      <c r="F24" s="34" t="n"/>
    </row>
    <row r="25" ht="15.75" customHeight="1">
      <c r="B25" s="34" t="n"/>
      <c r="C25" s="34" t="n"/>
      <c r="D25" s="34" t="n"/>
      <c r="E25" s="34" t="n"/>
      <c r="F25" s="34" t="n"/>
    </row>
    <row r="26" ht="15.75" customHeight="1">
      <c r="B26" s="34" t="n"/>
      <c r="C26" s="34" t="n"/>
      <c r="D26" s="34" t="n"/>
      <c r="E26" s="34" t="n"/>
      <c r="F26" s="34" t="n"/>
    </row>
    <row r="27" ht="15.75" customHeight="1">
      <c r="B27" s="34" t="n"/>
      <c r="C27" s="34" t="n"/>
      <c r="D27" s="34" t="n"/>
      <c r="E27" s="34" t="n"/>
      <c r="F27" s="34" t="n"/>
    </row>
    <row r="28" ht="15.75" customHeight="1">
      <c r="B28" s="34" t="n"/>
      <c r="C28" s="34" t="n"/>
      <c r="D28" s="34" t="n"/>
      <c r="E28" s="34" t="n"/>
      <c r="F28" s="34" t="n"/>
    </row>
    <row r="29" ht="15.75" customHeight="1">
      <c r="B29" s="34" t="n"/>
      <c r="C29" s="34" t="n"/>
      <c r="D29" s="34" t="n"/>
      <c r="E29" s="34" t="n"/>
      <c r="F29" s="34" t="n"/>
    </row>
    <row r="30" ht="15.75" customHeight="1">
      <c r="B30" s="34" t="n"/>
      <c r="C30" s="34" t="n"/>
      <c r="D30" s="34" t="n"/>
      <c r="E30" s="34" t="n"/>
      <c r="F30" s="34" t="n"/>
    </row>
    <row r="31" ht="15.75" customHeight="1">
      <c r="B31" s="34" t="n"/>
      <c r="C31" s="34" t="n"/>
      <c r="D31" s="34" t="n"/>
      <c r="E31" s="34" t="n"/>
      <c r="F31" s="34" t="n"/>
    </row>
  </sheetData>
  <mergeCells count="8">
    <mergeCell ref="B5:D5"/>
    <mergeCell ref="B8:D8"/>
    <mergeCell ref="B4:D4"/>
    <mergeCell ref="D11:H11"/>
    <mergeCell ref="B11:B12"/>
    <mergeCell ref="C11:C12"/>
    <mergeCell ref="B7:D7"/>
    <mergeCell ref="B6:D6"/>
  </mergeCells>
  <pageMargins left="0.7" right="0.7" top="0.75" bottom="0.75" header="0.511811023622047" footer="0.511811023622047"/>
  <pageSetup orientation="portrait" paperSize="9" horizontalDpi="300" verticalDpi="300"/>
</worksheet>
</file>

<file path=xl/worksheets/sheet24.xml><?xml version="1.0" encoding="utf-8"?>
<worksheet xmlns="http://schemas.openxmlformats.org/spreadsheetml/2006/main">
  <sheetPr>
    <tabColor rgb="FFA9D18E"/>
    <outlinePr summaryBelow="1" summaryRight="1"/>
    <pageSetUpPr/>
  </sheetPr>
  <dimension ref="A1:J41"/>
  <sheetViews>
    <sheetView topLeftCell="A28" zoomScale="76" zoomScaleNormal="76" workbookViewId="0">
      <selection activeCell="E12" sqref="E12:F31"/>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23" customWidth="1" style="30" min="5" max="5"/>
    <col width="43.7109375" customWidth="1" style="4" min="6" max="6"/>
    <col width="9.140625" customWidth="1" style="4" min="7" max="7"/>
    <col width="16.140625" customWidth="1" style="4" min="8" max="8"/>
    <col width="14.85546875" customWidth="1" style="4" min="9" max="9"/>
    <col width="26" customWidth="1" style="4" min="10" max="10"/>
    <col width="8.85546875" customWidth="1" style="4" min="11" max="16384"/>
  </cols>
  <sheetData>
    <row r="1"/>
    <row r="2" ht="15.75" customHeight="1">
      <c r="B2" s="36" t="inlineStr">
        <is>
          <t>Day 3 : Dominion: Conquest of the Elements</t>
        </is>
      </c>
      <c r="C2" s="36" t="n"/>
    </row>
    <row r="3"/>
    <row r="4" ht="15.75" customHeight="1">
      <c r="B4" s="36" t="inlineStr">
        <is>
          <t>Cara Pengisian:</t>
        </is>
      </c>
      <c r="C4" s="36" t="n"/>
      <c r="E4" s="2" t="inlineStr">
        <is>
          <t>Mapping seats/ Inisial Peserta:</t>
        </is>
      </c>
    </row>
    <row r="5" ht="15.75" customHeight="1">
      <c r="B5" s="152" t="inlineStr">
        <is>
          <t>1. Perhatikan kompetensi dan indikator yang muncul pada peserta</t>
        </is>
      </c>
    </row>
    <row r="6" ht="15.75" customHeight="1">
      <c r="B6" s="152" t="inlineStr">
        <is>
          <t>2. Berikan score untuk setiap indikator perilaku yang dimunculkan mulai dar: 0-2</t>
        </is>
      </c>
    </row>
    <row r="7" ht="64.5" customHeight="1">
      <c r="B7" s="153"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8.25" customHeight="1">
      <c r="B8" s="153" t="inlineStr">
        <is>
          <t>4 Jika terdapat bukti perilaku yang mencerminkan kompetensi lainnya yang tidak ada di lembar observasi, observer diperbolehkan mencantumkannya pada bagian catatan di akhir formulir.</t>
        </is>
      </c>
    </row>
    <row r="9"/>
    <row r="10" ht="75" customHeight="1">
      <c r="B10" s="182" t="inlineStr">
        <is>
          <t>Kompetensi</t>
        </is>
      </c>
      <c r="C10" s="182" t="inlineStr">
        <is>
          <t>Indikator Perilaku</t>
        </is>
      </c>
      <c r="D10" s="182" t="inlineStr">
        <is>
          <t>Contoh kalimat/perilaku</t>
        </is>
      </c>
      <c r="E10" s="44" t="inlineStr">
        <is>
          <t>Score
0 = Tidak terobservasi
1 = Terobservasi sebagian
2 = Terobservasi penuh (konsisten)</t>
        </is>
      </c>
      <c r="F10" s="182" t="inlineStr">
        <is>
          <t>Bukti Perilaku</t>
        </is>
      </c>
      <c r="H10" s="41" t="inlineStr">
        <is>
          <t>Kompetensi</t>
        </is>
      </c>
      <c r="I10" s="42" t="inlineStr">
        <is>
          <t>Score</t>
        </is>
      </c>
      <c r="J10" s="43" t="inlineStr">
        <is>
          <t>Band (per kegiatan)</t>
        </is>
      </c>
    </row>
    <row r="11" ht="57" customHeight="1">
      <c r="B11" s="203" t="n"/>
      <c r="C11" s="203" t="n"/>
      <c r="D11" s="203" t="n"/>
      <c r="E11" s="47" t="n"/>
      <c r="F11" s="203" t="n"/>
      <c r="H11" s="150">
        <f>B12</f>
        <v/>
      </c>
      <c r="I11" s="47">
        <f>IF(COUNT(E12:E15)=0,"",SUM(E12:E15))</f>
        <v/>
      </c>
      <c r="J11" s="48">
        <f>IF(COUNT(E12:E15)=0,"",IF(I11&lt;=2,"Sangat Jarang / Tidak Muncul",IF(I11&lt;=4,"Kadang-Kadang",IF(I11&lt;=6,"Sering Muncul","Konsisten Muncul"))))</f>
        <v/>
      </c>
    </row>
    <row r="12" ht="132" customHeight="1">
      <c r="B12" s="183" t="inlineStr">
        <is>
          <t>Karsa Daya: 
GRIT &amp; Navigating Agility</t>
        </is>
      </c>
      <c r="C12" s="53" t="inlineStr">
        <is>
          <t>Menunjukkan persistensi fisik di zona yang menguras tenaga (seperti berlari di Ventus atau ketangkasan di Ignis/Aqua).</t>
        </is>
      </c>
      <c r="D12" s="53" t="inlineStr">
        <is>
          <t>0 = Cepat menyerah, mengeluh kelelahan fisik, atau menolak melakukan tugas yang menguras keringat.
1 = Melakukan tugas fisik, namun terlihat penurunan stamina drastis atau mood yang memburuk menjelang akhir sesi.
2 = Daya juang luar biasa; energi, kecepatan tempuh, dan antusiasme tetap konsisten dari menit pertama hingga peluit akhir.</t>
        </is>
      </c>
      <c r="E12" s="44" t="n">
        <v>2</v>
      </c>
      <c r="F12" s="46" t="inlineStr">
        <is>
          <t>Berpartisipasi aktif di Ignis melalui latihan saat antre, formasi, aba-aba, dan penyelesaian sekali coba kurang dari satu menit.</t>
        </is>
      </c>
      <c r="H12" s="150">
        <f>B16</f>
        <v/>
      </c>
      <c r="I12" s="47">
        <f>IF(COUNT(E16:E19)=0,"",SUM(E16:E19))</f>
        <v/>
      </c>
      <c r="J12" s="48">
        <f>IF(COUNT(E16:E19)=0,"",IF(I12&lt;=2,"Sangat Jarang / Tidak Muncul",IF(I12&lt;=4,"Kadang-Kadang",IF(I12&lt;=6,"Sering Muncul","Konsisten Muncul"))))</f>
        <v/>
      </c>
    </row>
    <row r="13" ht="228" customHeight="1">
      <c r="B13" s="202" t="n"/>
      <c r="C13" s="53" t="inlineStr">
        <is>
          <t>Tetap menjalankan peran dengan tekun meskipun tugas terasa sulit atau kurang menarik.</t>
        </is>
      </c>
      <c r="D13" s="53" t="inlineStr">
        <is>
          <t>0 = Menghindari tugas yang sulit/berulang dan memilih peran yang lebih mudah.
1 = Menjalankan tugas sulit jika diminta, tetapi tidak menunjukkan usaha lebih.
2 = Menjalankan tugas sulit dengan tekun dan tetap fokus sampai target tercapai.</t>
        </is>
      </c>
      <c r="E13" s="44" t="n">
        <v>2</v>
      </c>
      <c r="F13" s="46" t="inlineStr">
        <is>
          <t>Tetap aktif menjalankan peran di Caellum, Ignis, dan Terra, termasuk menebak puzzle dan memberi strategi.</t>
        </is>
      </c>
      <c r="H13" s="150">
        <f>B20</f>
        <v/>
      </c>
      <c r="I13" s="47">
        <f>IF(COUNT(E20:E23)=0,"",SUM(E20:E23))</f>
        <v/>
      </c>
      <c r="J13" s="48">
        <f>IF(COUNT(E20:E23)=0,"",IF(I13&lt;=2,"Sangat Jarang / Tidak Muncul",IF(I13&lt;=4,"Kadang-Kadang",IF(I13&lt;=6,"Sering Muncul","Konsisten Muncul"))))</f>
        <v/>
      </c>
    </row>
    <row r="14" ht="120" customHeight="1">
      <c r="B14" s="202" t="n"/>
      <c r="C14" s="53" t="inlineStr">
        <is>
          <t>Bangkit cepat setelah hambatan, kesalahan, atau hasil yang tidak sesuai harapan.</t>
        </is>
      </c>
      <c r="D14" s="53" t="inlineStr">
        <is>
          <t>0 = Larut dalam kecewa, menyalahkan situasi/orang lain, atau kehilangan motivasi setelah gagal.
1 = Membutuhkan waktu untuk pulih sebelum kembali mencoba.
2 = Cepat bangkit, langsung melanjutkan usaha, dan membantu tim kembali fokus.</t>
        </is>
      </c>
      <c r="E14" s="44" t="n">
        <v>2</v>
      </c>
      <c r="F14" s="46" t="inlineStr">
        <is>
          <t>Merefleksikan kesalahan Caellum sebelumnya, misalnya menyadari bentuk yang seharusnya silinder, lalu tetap lanjut memperbaiki strategi.</t>
        </is>
      </c>
      <c r="H14" s="150">
        <f>B24</f>
        <v/>
      </c>
      <c r="I14" s="47">
        <f>IF(COUNT(E24:E27)=0,"",SUM(E24:E27))</f>
        <v/>
      </c>
      <c r="J14" s="48">
        <f>IF(COUNT(E24:E27)=0,"",IF(I14&lt;=2,"Sangat Jarang / Tidak Muncul",IF(I14&lt;=4,"Kadang-Kadang",IF(I14&lt;=6,"Sering Muncul","Konsisten Muncul"))))</f>
        <v/>
      </c>
    </row>
    <row r="15" ht="168" customHeight="1">
      <c r="B15" s="203" t="n"/>
      <c r="C15" s="53" t="inlineStr">
        <is>
          <t>Menunjukkan komitmen untuk terus bergerak menuju target tim.</t>
        </is>
      </c>
      <c r="D15" s="53" t="inlineStr">
        <is>
          <t>0 = Berhenti berkontribusi ketika peluang menang terlihat kecil.
1 = Masih membantu, tetapi hanya mengikuti arahan tanpa dorongan pribadi yang kuat.
2 = Tetap mendorong tim untuk menyelesaikan misi sebaik mungkin, meskipun waktu terbatas atau peluang menang menurun.</t>
        </is>
      </c>
      <c r="E15" s="44" t="n">
        <v>2</v>
      </c>
      <c r="F15" s="46" t="inlineStr">
        <is>
          <t>Terus bergerak menuju target tim melalui strategi Caellum/Terra dan penggunaan game pass kedua.</t>
        </is>
      </c>
      <c r="H15" s="150">
        <f>B28</f>
        <v/>
      </c>
      <c r="I15" s="47">
        <f>IF(COUNT(E28:E31)=0,"",SUM(E28:E31))</f>
        <v/>
      </c>
      <c r="J15" s="48">
        <f>IF(COUNT(E28:E31)=0,"",IF(I15&lt;=2,"Sangat Jarang / Tidak Muncul",IF(I15&lt;=4,"Kadang-Kadang",IF(I15&lt;=6,"Sering Muncul","Konsisten Muncul"))))</f>
        <v/>
      </c>
    </row>
    <row r="16" ht="132" customHeight="1">
      <c r="B16" s="184" t="inlineStr">
        <is>
          <t>Karsa Tumbuh:
Growth Oriented, Openness</t>
        </is>
      </c>
      <c r="C16" s="53" t="inlineStr">
        <is>
          <t>Memanfaatkan kesempatan bermain ulang (2x replay) untuk memperbaiki kesalahan percobaan pertama di zona yang sama.</t>
        </is>
      </c>
      <c r="D16" s="53" t="inlineStr">
        <is>
          <t>0 = Mengulang zona dengan metode/kesalahan yang sama persis tanpa ada proses diskusi review (tidak belajar dari kesalahan).
1 = Mencoba mengevaluasi kegagalan, namun perbaikan taktik yang diajukan tidak relevan atau kurang efektif.
2 = Melakukan briefing kilat, membedah akar kegagalan sebelumnya, dan mengeksekusi metode baru yang terbukti lebih baik.</t>
        </is>
      </c>
      <c r="E16" s="44" t="n">
        <v>2</v>
      </c>
      <c r="F16" s="46" t="inlineStr">
        <is>
          <t>Menggunakan kesempatan replay Caellum untuk memperbaiki kesalahan percobaan sebelumnya.</t>
        </is>
      </c>
    </row>
    <row r="17" ht="132" customHeight="1">
      <c r="B17" s="202" t="n"/>
      <c r="C17" s="53" t="inlineStr">
        <is>
          <t>Kebesaran hati saat gagal melakukan tugas spesifik (misal: gagal menghafal di Caelum) dan menyerahkan giliran ke rekan lain.</t>
        </is>
      </c>
      <c r="D17" s="53" t="inlineStr">
        <is>
          <t>0 = Defensif, mencari-cari alasan pembenaran, gengsi, atau menyalahkan gangguan dari luar atas kegagalannya.
1 = Mau mengakui gagal dan memberikan giliran ke rekan, namun menunjukkan bahasa tubuh pasrah/kecewa berlebihan.
2 = Terbuka mengakui kelemahan, langsung mempercayakan (hand-over) ke rekan yang lebih mampu tanpa drama, dan tetap suportif.</t>
        </is>
      </c>
      <c r="E17" s="44" t="n">
        <v>1</v>
      </c>
      <c r="F17" s="46" t="inlineStr">
        <is>
          <t>Tidak terlihat marah atau kecewa saat terjadi kegagalan, namun tidak ada bukti eksplisit menyerahkan giliran kepada rekan yang lebih kompeten.</t>
        </is>
      </c>
    </row>
    <row r="18" ht="144" customHeight="1">
      <c r="B18" s="202" t="n"/>
      <c r="C18" s="53" t="inlineStr">
        <is>
          <t>Cara peserta berdiskusi saat terjadi perbedaan pendapat yang tajam (sangat terlihat di survival game Terra / Marooned).</t>
        </is>
      </c>
      <c r="D18" s="53" t="inlineStr">
        <is>
          <t>0 = Bersikap otoriter memaksakan prioritas alat pilihannya sendiri tanpa mau mendengarkan argumen orang lain.
1 = Mendengarkan orang lain tapi sekadar formalitas, pada akhirnya tetap bersikeras pada pendiriannya sendiri.
2 = Berpikiran sangat terbuka (open-minded); mendengarkan, menyintesis berbagai pendapat, dan mengutamakan konsensus kelompok yang logis.</t>
        </is>
      </c>
      <c r="E18" s="44" t="n">
        <v>2</v>
      </c>
      <c r="F18" s="46" t="inlineStr">
        <is>
          <t>Aktif berdiskusi di Terra, mengusulkan prioritas berteduh, bertahan hidup, menangani yang terluka, lalu mencari bantuan.</t>
        </is>
      </c>
    </row>
    <row r="19" ht="153" customHeight="1">
      <c r="B19" s="203" t="n"/>
      <c r="C19" s="53" t="inlineStr">
        <is>
          <t>Mengajarkan taktik, temuan pola (pattern), atau trik kepada anggota tim yang lain agar tim lebih cepat menang.</t>
        </is>
      </c>
      <c r="D19" s="53" t="inlineStr">
        <is>
          <t>0 = Menyimpan pemahaman atau trik main untuk diri sendiri; membiarkan teman satu tim kebingungan menyelesaikan misinya.
1 = Memberitahu cara main kepada temannya, namun dengan instruksi yang membingungkan atau kurang sabar.
2 = Secara proaktif membagikan tips rahasia/pola efisien yang ia temukan kepada rekan setimnya agar kecepatan komunal meningkat.</t>
        </is>
      </c>
      <c r="E19" s="44" t="n">
        <v>2</v>
      </c>
      <c r="F19" s="46" t="inlineStr">
        <is>
          <t>Melakukan refleksi dan adaptasi strategi di tengah/antara game, termasuk pembahasan strategi Caellum dan Terra.</t>
        </is>
      </c>
    </row>
    <row r="20" ht="144" customHeight="1">
      <c r="B20" s="178" t="inlineStr">
        <is>
          <t>Karsa Mahira:
Proactive</t>
        </is>
      </c>
      <c r="C20" s="105" t="inlineStr">
        <is>
          <t>Menunjukkan kapasitas kognitif untuk memahami aturan kompleks dari ke-6 zona secara cepat dan akurat.</t>
        </is>
      </c>
      <c r="D20" s="105" t="inlineStr">
        <is>
          <t>0 = Pasif/bingung; tidak membaca instruksi dengan baik dan sering menanyakan aturan dasar yang sudah dijelaskan.
1 = Memahami aturan secara umum, namun masih keliru menafsirkan detail cara kerja di beberapa zona (misal: aturan poin Astra/Caelum).
2 = Sangat tajam; memahami seluruh aturan zona dengan cepat dan proaktif menjelaskan ulang kepada anggota tim yang belum paham.</t>
        </is>
      </c>
      <c r="E20" s="44" t="n">
        <v>1</v>
      </c>
      <c r="F20" s="46" t="inlineStr">
        <is>
          <t>Membaca buklet dan aktif strategi, tetapi masih ada beberapa lupa aturan teknis Caellum.</t>
        </is>
      </c>
    </row>
    <row r="21" ht="132" customHeight="1">
      <c r="B21" s="202" t="n"/>
      <c r="C21" s="53" t="inlineStr">
        <is>
          <t>Mendistribusikan anggota tim berdasarkan skill (Fisik ke Ventus/Aqua, Otak/Memori ke Astra/Caelum/Terra).</t>
        </is>
      </c>
      <c r="D21" s="53" t="inlineStr">
        <is>
          <t>0 = Membagi tugas secara acak, egois, atau tanpa diskusi mengenai keahlian masing-masing anggota.
1 = Membagi peran, namun kurang tepat sasaran atau distribusinya tidak seimbang (menumpuk orang kuat di satu game saja).
2 = Sangat presisi; berdiskusi mencocokkan skill individu dengan karakteristik zona sebelum fase eksekusi dimulai.</t>
        </is>
      </c>
      <c r="E21" s="44" t="n">
        <v>2</v>
      </c>
      <c r="F21" s="87" t="inlineStr">
        <is>
          <t>Mengusulkan pembagian game antar subkelompok dan ikut menyusun strategi kelompok.</t>
        </is>
      </c>
    </row>
    <row r="22" ht="144" customHeight="1">
      <c r="B22" s="202" t="n"/>
      <c r="C22" s="53" t="inlineStr">
        <is>
          <t>Menghitung zona mana yang memberikan persentase kemenangan tertinggi dibandingkan dengan waktu/tenaga yang dihabiskan.</t>
        </is>
      </c>
      <c r="D22" s="53" t="inlineStr">
        <is>
          <t>0 = Merencanakan pergerakan secara acak; tidak ada prioritas zona mana yang harus dikuasai lebih dulu.
1 = Punya rencana prioritas, namun perhitungannya kurang matang (misal: fokus di zona yang poinnya kecil tapi memakan waktu lama).
2 = Sangat analitis; menghitung yield (hasil vs usaha) untuk memaksimalkan persentase wilayah yang dikuasai.</t>
        </is>
      </c>
      <c r="E22" s="44" t="n">
        <v>2</v>
      </c>
      <c r="F22" s="87" t="inlineStr">
        <is>
          <t>Mengusulkan penggunaan bonus card pada Tier 2 dan Tier 3 agar lebih aman dibanding pilihan berisiko tinggi.</t>
        </is>
      </c>
    </row>
    <row r="23" ht="142.5" customHeight="1">
      <c r="B23" s="203" t="n"/>
      <c r="C23" s="53" t="inlineStr">
        <is>
          <t>Menyiapkan rencana cadangan apabila zona yang dituju penuh, atau wilayah mereka direbut (di-challenge) kelompok lain.</t>
        </is>
      </c>
      <c r="D23" s="53" t="inlineStr">
        <is>
          <t>0 = Hanya memiliki satu rencana linier; tidak memikirkan kemungkinan ancaman dari kelompok lawan.
1 = Menyadari potensi ancaman, namun belum merumuskan langkah konkret apa yang akan dilakukan jika rencana awal gagal.
2 = Visioner; merumuskan "Plan A" dan "Plan B" (Misal: "Kalau Ventus penuh, kita langsung geser ke Aqua ya").</t>
        </is>
      </c>
      <c r="E23" s="44" t="n">
        <v>2</v>
      </c>
      <c r="F23" s="87" t="inlineStr">
        <is>
          <t>Ikut menyusun strategi ulang Caellum dan memberi penyesuaian ritme saat Ignis terlalu cepat.</t>
        </is>
      </c>
    </row>
    <row r="24" ht="161.25" customHeight="1">
      <c r="B24" s="185" t="inlineStr">
        <is>
          <t>Karsa Jaya:
Excel in Execution</t>
        </is>
      </c>
      <c r="C24" s="53" t="inlineStr">
        <is>
          <t>Bergerak cepat mengeksekusi misi dan transisi antarzona tanpa membuang waktu untuk berdebat di lapangan.</t>
        </is>
      </c>
      <c r="D24" s="53" t="inlineStr">
        <is>
          <t>0 = Terlalu banyak berdebat saat waktu sudah berjalan, banyak waktu menganggur (idle) antar zona.
1 = Cukup cepat mengeksekusi, namun transisi perpindahan dari satu zona ke zona lain masih terasa lambat/ragu.
2 = Sangat taktis; eksekusi dan mobilisasi tim antarzona berjalan sangat cepat, efisien, dan minim waktu kosong.</t>
        </is>
      </c>
      <c r="E24" s="44" t="n">
        <v>2</v>
      </c>
      <c r="F24" s="87" t="inlineStr">
        <is>
          <t>Mengeksekusi misi dengan cepat, termasuk Ignis yang berhasil sekali coba kurang dari satu menit.</t>
        </is>
      </c>
    </row>
    <row r="25" ht="148.5" customHeight="1">
      <c r="B25" s="205" t="n"/>
      <c r="C25" s="53" t="inlineStr">
        <is>
          <t>Menyelesaikan misi kognitif/ketangkasan (seperti Ball Sort di Aqua atau rute di Astra) dengan teliti dan akurat.</t>
        </is>
      </c>
      <c r="D25" s="53" t="inlineStr">
        <is>
          <t>0 = Bekerja terburu-buru, ceroboh, dan banyak melakukan kesalahan konyol yang merugikan poin tim.
1 = Berhasil menyelesaikan misi, namun membutuhkan beberapa kali ralat/koreksi karena kurang teliti di awal.
2 = Eksekusi sangat rapi dan presisi; mampu mempertahankan ketelitian tinggi meskipun dikejar waktu atau disoraki lawan.</t>
        </is>
      </c>
      <c r="E25" s="44" t="n">
        <v>2</v>
      </c>
      <c r="F25" s="87" t="inlineStr">
        <is>
          <t>Berhasil menebak beberapa puzzle Caellum; kesalahan turus/tepuk pundak diperlakukan sebagai teknis aturan, bukan kegagalan akurasi puzzle.</t>
        </is>
      </c>
    </row>
    <row r="26" ht="154.5" customHeight="1">
      <c r="B26" s="205" t="n"/>
      <c r="C26" s="53" t="inlineStr">
        <is>
          <t>Secara proaktif memantau live leaderboard dan sisa waktu, lalu menyesuaikan ritme kerja tim.</t>
        </is>
      </c>
      <c r="D26" s="53" t="inlineStr">
        <is>
          <t>0 = Buta terhadap papan skor; asyik bermain di satu zona tanpa peduli wilayahnya sedang direbut tim lain.
1 = Sesekali melihat papan skor, namun tidak mengambil tindakan penyesuaian ritme atau tidak mengingatkan timnya.
2 = Sangat result-oriented; memonitor pergerakan lawan di papan skor dan memotivasi tim untuk mempercepat ritme/menyerang balik.</t>
        </is>
      </c>
      <c r="E26" s="44" t="n">
        <v>2</v>
      </c>
      <c r="F26" s="87" t="inlineStr">
        <is>
          <t>Mengusulkan pertukaran kartu dengan subkelompok lain untuk menyesuaikan ritme dan menghindari antrean panjang.</t>
        </is>
      </c>
    </row>
    <row r="27" ht="147" customHeight="1">
      <c r="B27" s="206" t="n"/>
      <c r="C27" s="53" t="inlineStr">
        <is>
          <t>Menyelesaikan zona yang sudah dimulai hingga benar-benar tuntas mendapatkan poin penuh.</t>
        </is>
      </c>
      <c r="D27" s="53" t="inlineStr">
        <is>
          <t>0 = Meninggalkan zona di tengah jalan (menyerah sebelum tuntas) hanya karena merasa permainannya terlalu sulit.
1 = Menuntaskan zona, namun dengan hasil poin minimalis sekadar untuk mendapat persentase wilayah.
2 = Sangat komitmen; memastikan misi di zona tersebut tuntas dengan poin/persentase maksimal sebelum berpindah ke zona lain.</t>
        </is>
      </c>
      <c r="E27" s="44" t="n">
        <v>2</v>
      </c>
      <c r="F27" s="87" t="inlineStr">
        <is>
          <t>Membantu menyelesaikan zona melalui kontribusi puzzle Caellum dan eksekusi Ignis.</t>
        </is>
      </c>
    </row>
    <row r="28" ht="117" customHeight="1">
      <c r="B28" s="183" t="inlineStr">
        <is>
          <t>Karsa Rasa:
Building Partnership</t>
        </is>
      </c>
      <c r="C28" s="53" t="inlineStr">
        <is>
          <t>Membangun alignment selama strategizing, memastikan semua kontribusi didengar sebelum keputusan diambil</t>
        </is>
      </c>
      <c r="D28" s="53" t="inlineStr">
        <is>
          <t>0 = Beberapa orang dominan memutuskan; suara lain tertinggal atau diabaikan.  
1 = Mendengarkan secara formalitas, tapi keputusan akhir tetap dari segelintir orang.  
2 = Aktif mengundang setiap anggota bicara, melakukan recap kesepakatan sebelum eksekusi. 
("Jadi yang kita sepakati: A ke Ventus, B &amp; C ke Astra -- semua setuju?")</t>
        </is>
      </c>
      <c r="E28" s="44" t="n">
        <v>2</v>
      </c>
      <c r="F28" s="46" t="inlineStr">
        <is>
          <t>Membantu alignment strategi melalui usulan pembagian game, strategi bonus card, dan prioritas Terra.</t>
        </is>
      </c>
    </row>
    <row r="29" ht="117" customHeight="1">
      <c r="B29" s="202" t="n"/>
      <c r="C29" s="53" t="inlineStr">
        <is>
          <t>Menjadi stabilizer tim saat tekanan tinggi, konflik internal, atau tim mulai chaos</t>
        </is>
      </c>
      <c r="D29" s="53" t="inlineStr">
        <is>
          <t>0 = Ikut panik/memperparah konflik; menambah noise saat tim sudah tegang.  
1 = Diam saja saat tim chaos; tidak menambah masalah tapi juga tidak meredakan.  
2 = Aktif meredakan ketegangan: tetap tenang, mengajak fokus ulang. 
("Yuk tarik napas, kita reset 10 detik -- fokus ke pos berikutnya.")</t>
        </is>
      </c>
      <c r="E29" s="44" t="n">
        <v>2</v>
      </c>
      <c r="F29" s="46" t="inlineStr">
        <is>
          <t>Menstabilkan ritme tim saat Ignis dengan mengingatkan, "pelan! pelan! pelan!"</t>
        </is>
      </c>
    </row>
    <row r="30" ht="96" customHeight="1">
      <c r="B30" s="202" t="n"/>
      <c r="C30" s="53" t="inlineStr">
        <is>
          <t>Memberi dukungan emosional &amp; taktis ke rekan yang gagal di pos (terutama Caelum/Aqua yang individual)</t>
        </is>
      </c>
      <c r="D30" s="53" t="inlineStr">
        <is>
          <t>0 = Menyalahkan/sindir rekan yang gagal 
1 = Tidak menyalahkan, tapi pasif tidak support.  
2 = Aktif memberi semangat &amp; bantu strategize ulang. 
("Gapapa, bareng-bareng kita coba lagi,  yuk aku bantu hafalnya")</t>
        </is>
      </c>
      <c r="E30" s="44" t="n">
        <v>1</v>
      </c>
      <c r="F30" s="46" t="inlineStr">
        <is>
          <t>Mendukung tim melalui re-strategizing dan tidak menyalahkan saat ada kesalahan, tetapi belum ada dukungan spesifik ke rekan yang gagal.</t>
        </is>
      </c>
    </row>
    <row r="31" ht="108" customHeight="1">
      <c r="B31" s="203" t="n"/>
      <c r="C31" s="53" t="inlineStr">
        <is>
          <t>Mengapresiasi kontribusi rekan setim, terutama setelah pencapaian poin</t>
        </is>
      </c>
      <c r="D31" s="53" t="inlineStr">
        <is>
          <t>0 = Tidak mengakui kontribusi rekan; mengklaim keberhasilan sebagai pribadi.  
1 = Apresiasi formal/datar ("OK bagus") tanpa ketulusan.  
2 = Apresiasi spesifik &amp; tulus. 
("Tadi keren banget kamu yang stabilizer waktu Aqua kacau, itu bikin kita bisa lanjut").</t>
        </is>
      </c>
      <c r="E31" s="44" t="n">
        <v>2</v>
      </c>
      <c r="F31" s="46" t="inlineStr">
        <is>
          <t>Saling memberi apresiasi setelah tim menyelesaikan Ignis sekali coba dengan waktu lebih cepat daripada kelompok lain.</t>
        </is>
      </c>
    </row>
    <row r="32" ht="15.75" customHeight="1">
      <c r="B32" s="34" t="n"/>
      <c r="C32" s="34" t="n"/>
      <c r="D32" s="34" t="n"/>
      <c r="E32" s="33" t="n"/>
      <c r="F32" s="34" t="n"/>
    </row>
    <row r="33" ht="15.75" customHeight="1">
      <c r="B33" s="34" t="n"/>
      <c r="C33" s="34" t="n"/>
      <c r="D33" s="34" t="n"/>
      <c r="E33" s="33" t="n"/>
      <c r="F33" s="34" t="n"/>
    </row>
    <row r="34" ht="15.75" customHeight="1">
      <c r="B34" s="34" t="n"/>
      <c r="C34" s="34" t="n"/>
      <c r="D34" s="34" t="n"/>
      <c r="E34" s="33" t="n"/>
      <c r="F34" s="34" t="n"/>
    </row>
    <row r="35" ht="15.75" customHeight="1">
      <c r="B35" s="34" t="n"/>
      <c r="C35" s="34" t="n"/>
      <c r="D35" s="34" t="n"/>
      <c r="E35" s="33" t="n"/>
      <c r="F35" s="34" t="n"/>
    </row>
    <row r="36" ht="15.75" customHeight="1">
      <c r="B36" s="34" t="n"/>
      <c r="C36" s="34" t="n"/>
      <c r="D36" s="34" t="n"/>
      <c r="E36" s="33" t="n"/>
      <c r="F36" s="34" t="n"/>
    </row>
    <row r="37" ht="15.75" customHeight="1">
      <c r="B37" s="34" t="n"/>
      <c r="C37" s="34" t="n"/>
      <c r="D37" s="34" t="n"/>
      <c r="E37" s="33" t="n"/>
      <c r="F37" s="34" t="n"/>
    </row>
    <row r="38" ht="15.75" customHeight="1">
      <c r="B38" s="34" t="n"/>
      <c r="C38" s="34" t="n"/>
      <c r="D38" s="34" t="n"/>
      <c r="E38" s="33" t="n"/>
      <c r="F38" s="34" t="n"/>
    </row>
    <row r="39" ht="15.75" customHeight="1">
      <c r="B39" s="34" t="n"/>
      <c r="C39" s="34" t="n"/>
      <c r="D39" s="34" t="n"/>
      <c r="E39" s="33" t="n"/>
      <c r="F39" s="34" t="n"/>
    </row>
    <row r="40" ht="15.75" customHeight="1">
      <c r="E40" s="33" t="n"/>
    </row>
    <row r="41" ht="15.75" customHeight="1">
      <c r="E41" s="33" t="n"/>
    </row>
  </sheetData>
  <mergeCells count="13">
    <mergeCell ref="B5:D5"/>
    <mergeCell ref="D10:D11"/>
    <mergeCell ref="F10:F11"/>
    <mergeCell ref="B8:D8"/>
    <mergeCell ref="B20:B23"/>
    <mergeCell ref="B12:B15"/>
    <mergeCell ref="C10:C11"/>
    <mergeCell ref="B10:B11"/>
    <mergeCell ref="B24:B27"/>
    <mergeCell ref="B16:B19"/>
    <mergeCell ref="B6:D6"/>
    <mergeCell ref="B7:D7"/>
    <mergeCell ref="B28:B31"/>
  </mergeCells>
  <pageMargins left="0.7" right="0.7" top="0.75" bottom="0.75" header="0.511811023622047" footer="0.511811023622047"/>
  <pageSetup orientation="portrait" paperSize="9" horizontalDpi="300" verticalDpi="300"/>
</worksheet>
</file>

<file path=xl/worksheets/sheet25.xml><?xml version="1.0" encoding="utf-8"?>
<worksheet xmlns="http://schemas.openxmlformats.org/spreadsheetml/2006/main">
  <sheetPr>
    <tabColor rgb="FFFFFF00"/>
    <outlinePr summaryBelow="1" summaryRight="1"/>
    <pageSetUpPr/>
  </sheetPr>
  <dimension ref="A1:J38"/>
  <sheetViews>
    <sheetView topLeftCell="A11" zoomScale="77" zoomScaleNormal="77" workbookViewId="0">
      <selection activeCell="D14" sqref="D14"/>
    </sheetView>
  </sheetViews>
  <sheetFormatPr baseColWidth="8" defaultColWidth="8.85546875" defaultRowHeight="15.75" customHeight="1"/>
  <cols>
    <col width="4.42578125" customWidth="1" style="4" min="1" max="1"/>
    <col width="20.28515625" customWidth="1" style="4" min="2" max="2"/>
    <col width="35.42578125" customWidth="1" style="4" min="3" max="3"/>
    <col width="35.7109375" customWidth="1" style="4" min="4" max="4"/>
    <col width="18.85546875" customWidth="1" style="4" min="5" max="5"/>
    <col width="43.7109375" customWidth="1" style="4" min="6" max="6"/>
    <col width="9.140625" customWidth="1" style="4" min="7" max="7"/>
    <col width="8.85546875" customWidth="1" style="4" min="8" max="16384"/>
  </cols>
  <sheetData>
    <row r="1"/>
    <row r="2" ht="15.75" customFormat="1" customHeight="1" s="106">
      <c r="B2" s="107" t="inlineStr">
        <is>
          <t>Day 3 :  Final Peers Team Review</t>
        </is>
      </c>
      <c r="C2" s="108" t="n"/>
    </row>
    <row r="3" ht="15.75" customFormat="1" customHeight="1" s="106"/>
    <row r="4" ht="15.75" customFormat="1" customHeight="1" s="106">
      <c r="B4" s="108" t="inlineStr">
        <is>
          <t>Cara Pengisian:</t>
        </is>
      </c>
      <c r="C4" s="108" t="n"/>
    </row>
    <row r="5" ht="15.75" customFormat="1" customHeight="1" s="106">
      <c r="B5" s="187" t="inlineStr">
        <is>
          <t>1. Perhatikan kompetensi dan indikator yang muncul pada peserta</t>
        </is>
      </c>
    </row>
    <row r="6" ht="15.75" customFormat="1" customHeight="1" s="106">
      <c r="B6" s="187" t="inlineStr">
        <is>
          <t>2. Berikan score untuk setiap indikator perilaku yang dimunculkan mulai dar: 0-2</t>
        </is>
      </c>
    </row>
    <row r="7" ht="64.5" customFormat="1" customHeight="1" s="106">
      <c r="B7" s="188" t="inlineStr">
        <is>
          <t>3 Berikan bukti perilaku konkret yang diucapkan / ditunjukkan peserta. Kalimat harus sebisa mungkin jelas dan benar - benar menggambarkan perilaku yang ditunjukkan peserta.  
Contoh: Peserta mengajukan pertanyaan terkait dengan implementasi 4 Nilai (Nadhi). [Verbatim]</t>
        </is>
      </c>
    </row>
    <row r="8" ht="38.25" customFormat="1" customHeight="1" s="106">
      <c r="B8" s="188" t="inlineStr">
        <is>
          <t>4 Jika terdapat bukti perilaku yang mencerminkan kompetensi lainnya yang tidak ada di lembar observasi, observer diperbolehkan mencantumkannya pada bagian catatan di akhir formulir.</t>
        </is>
      </c>
    </row>
    <row r="9" ht="15.75" customFormat="1" customHeight="1" s="106"/>
    <row r="10" ht="51" customFormat="1" customHeight="1" s="106">
      <c r="B10" s="109" t="inlineStr">
        <is>
          <t>Kompetensi</t>
        </is>
      </c>
      <c r="C10" s="110" t="inlineStr">
        <is>
          <t>Indikator Perilaku</t>
        </is>
      </c>
      <c r="D10" s="111" t="inlineStr">
        <is>
          <t>Contoh kalimat/perilaku</t>
        </is>
      </c>
      <c r="E10" s="112" t="inlineStr">
        <is>
          <t xml:space="preserve">Score
0 = Tidak terobservasi
1 = Sesekali
2 = Konsisten </t>
        </is>
      </c>
      <c r="F10" s="113" t="inlineStr">
        <is>
          <t>Bukti Perilaku</t>
        </is>
      </c>
      <c r="H10" s="114" t="inlineStr">
        <is>
          <t>Kompetensi</t>
        </is>
      </c>
      <c r="I10" s="114" t="inlineStr">
        <is>
          <t>Skor (0-8)</t>
        </is>
      </c>
      <c r="J10" s="43" t="inlineStr">
        <is>
          <t>Band (per kegiatan)</t>
        </is>
      </c>
    </row>
    <row r="11" ht="48" customHeight="1">
      <c r="B11" s="186" t="inlineStr">
        <is>
          <t>Karsa Daya: 
GRIT &amp; Navigating Agility</t>
        </is>
      </c>
      <c r="C11" s="115" t="inlineStr">
        <is>
          <t>Ketika mengalami kegagalan di dalam game, tidak mengeluh melainkan langsung bangkit.</t>
        </is>
      </c>
      <c r="D11" s="115" t="inlineStr">
        <is>
          <t>Saat hafalan salah atau game fisik gagal, ia tidak membuang waktu untuk mengeluh "Wah susah," tetapi tangannya langsung menyusun ulang dengan cepat.</t>
        </is>
      </c>
      <c r="E11" s="116" t="n"/>
      <c r="F11" s="46" t="n"/>
      <c r="H11" s="117" t="inlineStr">
        <is>
          <t>Karsa Daya: GRIT &amp; Navigating Agility</t>
        </is>
      </c>
      <c r="I11" s="118">
        <f>IF(COUNT(E11:E14)=0,"",SUM(E11:E14))</f>
        <v/>
      </c>
      <c r="J11" s="48">
        <f>IF(COUNT(E11:E14)=0,"",IF(I11&lt;=2,"Sangat Jarang / Tidak Muncul",IF(I11&lt;=4,"Kadang-Kadang",IF(I11&lt;=6,"Sering Muncul","Konsisten Muncul"))))</f>
        <v/>
      </c>
    </row>
    <row r="12" ht="42" customHeight="1">
      <c r="B12" s="205" t="n"/>
      <c r="C12" s="115" t="inlineStr">
        <is>
          <t>Cepat mengambil keputusan beralih target/cara bermain saat strategi sebelumnya buntu</t>
        </is>
      </c>
      <c r="D12" s="115" t="inlineStr">
        <is>
          <t>Kalimat: "Polanya kalau didorong gagal terus dari tadi. Kita ganti cara, sekarang coba kita tarik bersamaan dalam hitungan ketiga."</t>
        </is>
      </c>
      <c r="E12" s="87" t="n"/>
      <c r="F12" s="46" t="n"/>
    </row>
    <row r="13" ht="42" customHeight="1">
      <c r="B13" s="205" t="n"/>
      <c r="C13" s="115" t="inlineStr">
        <is>
          <t>Secara sukarela mengambil alih peran yang dinilai paling sulit, berisiko, atau menguras fisik.</t>
        </is>
      </c>
      <c r="D13" s="115" t="inlineStr">
        <is>
          <t>Kalimat: Proaktif menawarkan diri, "Aku aja yang ambil tugas lari paling jauh, yang lain backup bagian penyelesaian akhirnya saja."</t>
        </is>
      </c>
      <c r="E13" s="87" t="n"/>
      <c r="F13" s="46" t="n"/>
    </row>
    <row r="14" ht="48" customHeight="1">
      <c r="B14" s="206" t="n"/>
      <c r="C14" s="115" t="inlineStr">
        <is>
          <t>Tetap tenang, tidak panik, dan tidak menyalahkan keadaan/rekan saat tim sedang tertinggal.</t>
        </is>
      </c>
      <c r="D14" s="115" t="inlineStr">
        <is>
          <t>Kalimat: Saat suasana kelompok mulai tegang/panik karena kehabisan waktu, ia menenangkan, "Tenang guys, jangan panik, kita fokus ke satu zona ini dulu perlahan."</t>
        </is>
      </c>
      <c r="E14" s="87" t="n"/>
      <c r="F14" s="46" t="n"/>
    </row>
    <row r="15" ht="48" customHeight="1">
      <c r="B15" s="186" t="inlineStr">
        <is>
          <t>Karsa Tumbuh:
Growth Oriented</t>
        </is>
      </c>
      <c r="C15" s="115" t="inlineStr">
        <is>
          <t>Menggunakan kesempatan replay untuk memperbaiki metode kerja berdasarkan kesalahan pertama.</t>
        </is>
      </c>
      <c r="D15" s="115" t="inlineStr">
        <is>
          <t>Kalimat: Sebelum memulai replay, ia mengajak evaluasi, "Tadi kita gagal karena kurang koordinasi di tengah. Sekarang yang pegang ujung harus kasih aba-aba ya."</t>
        </is>
      </c>
      <c r="E15" s="87" t="n"/>
      <c r="F15" s="46" t="n"/>
      <c r="H15" s="117" t="inlineStr">
        <is>
          <t>Karsa Tumbuh: Growth Oriented</t>
        </is>
      </c>
      <c r="I15" s="118">
        <f>IF(COUNT(E15:E18)=0,"",SUM(E15:E18))</f>
        <v/>
      </c>
      <c r="J15" s="48">
        <f>IF(COUNT(E15:E18)=0,"",IF(I15&lt;=2,"Sangat Jarang / Tidak Muncul",IF(I15&lt;=4,"Kadang-Kadang",IF(I15&lt;=6,"Sering Muncul","Konsisten Muncul"))))</f>
        <v/>
      </c>
    </row>
    <row r="16" ht="51.75" customHeight="1">
      <c r="B16" s="205" t="n"/>
      <c r="C16" s="115" t="inlineStr">
        <is>
          <t>Memberikan gilirannya kepada rekan lain yang lebih kompeten saat menyadari kelemahannya.</t>
        </is>
      </c>
      <c r="D16" s="115" t="inlineStr">
        <is>
          <t>Kalimat: Dengan legawa mundur dan berkata, "Waduh saya ternyata kurang bisa ngapalin ini, silakan Pak/Bu yang lain gantiin saya dong biar persentase kita lebih aman."</t>
        </is>
      </c>
      <c r="E16" s="87" t="n"/>
      <c r="F16" s="46" t="n"/>
    </row>
    <row r="17" ht="48" customHeight="1">
      <c r="B17" s="205" t="n"/>
      <c r="C17" s="115" t="inlineStr">
        <is>
          <t>Terbuka terhadap argumentasi rekan lain saat terjadi perbedaan pendapat (seperti di game Terra).</t>
        </is>
      </c>
      <c r="D17" s="115" t="inlineStr">
        <is>
          <t>Kalimat: Menjadi penengah yang objektif, "Menurut saya prioritas alat Pak A bagus, pendapat Bu B juga logis. Bagaimana kalau kita kompromikan urutannya jadi seperti ini?"</t>
        </is>
      </c>
      <c r="E17" s="87" t="n"/>
      <c r="F17" s="46" t="n"/>
    </row>
    <row r="18" ht="48" customHeight="1">
      <c r="B18" s="206" t="n"/>
      <c r="C18" s="115" t="inlineStr">
        <is>
          <t>Inisiatif membagikan pola keberhasilan atau trik yang ia temukan kepada rekan setim.</t>
        </is>
      </c>
      <c r="D18" s="115" t="inlineStr">
        <is>
          <t>Kalimat: Mendatangi rekan yang terlihat kesulitan dan memberitahu, "Pak, rahasianya ada di pattern urutan warnanya, kalau Bapak pakai pola ini pasti jauh lebih cepat."</t>
        </is>
      </c>
      <c r="E18" s="87" t="n"/>
      <c r="F18" s="46" t="n"/>
    </row>
    <row r="19" ht="40.5" customHeight="1">
      <c r="B19" s="186" t="inlineStr">
        <is>
          <t>Karsa Mahira:
Proactive</t>
        </is>
      </c>
      <c r="C19" s="115" t="inlineStr">
        <is>
          <t>Memahami esensi dan aturan main di setiap zona secara cepat, serta membantu menjelaskan kepada rekan tim yang masih ragu.</t>
        </is>
      </c>
      <c r="D19" s="46" t="inlineStr">
        <is>
          <t>Kalimat: "Bapak/Ibu, intinya di zona ini kita cukup fokus mengumpulkan bola merah saja, abaikan yang lain supaya lebih cepat."</t>
        </is>
      </c>
      <c r="E19" s="87" t="n"/>
      <c r="F19" s="46" t="n"/>
      <c r="H19" s="117" t="inlineStr">
        <is>
          <t>Karsa Mahira: Being Proactive</t>
        </is>
      </c>
      <c r="I19" s="118">
        <f>IF(COUNT(E19:E22)=0,"",SUM(E19:E22))</f>
        <v/>
      </c>
      <c r="J19" s="48">
        <f>IF(COUNT(E19:E22)=0,"",IF(I19&lt;=2,"Sangat Jarang / Tidak Muncul",IF(I19&lt;=4,"Kadang-Kadang",IF(I19&lt;=6,"Sering Muncul","Konsisten Muncul"))))</f>
        <v/>
      </c>
    </row>
    <row r="20" ht="42" customHeight="1">
      <c r="B20" s="205" t="n"/>
      <c r="C20" s="46" t="inlineStr">
        <is>
          <t>Mengusulkan pembagian tugas anggota tim secara objektif berdasarkan kekuatan individu.</t>
        </is>
      </c>
      <c r="D20" s="115" t="inlineStr">
        <is>
          <t>Kalimat: "Pak Budi fisiknya paling fit, Bapak ambil yang lari ya. Bu Ani detail dan hafalannya kuat, Ibu pegang bagian memori."</t>
        </is>
      </c>
      <c r="E20" s="87" t="n"/>
      <c r="F20" s="46" t="n"/>
    </row>
    <row r="21" ht="42" customHeight="1">
      <c r="B21" s="205" t="n"/>
      <c r="C21" s="46" t="inlineStr">
        <is>
          <t>Mengarahkan tim memprioritaskan zona dengan bobot poin atau persentase wilayah tertinggi.</t>
        </is>
      </c>
      <c r="D21" s="115" t="inlineStr">
        <is>
          <t>Kalimat: "Tunggu, tantangan di zona ini butuh waktu lama tapi poinnya kecil. Kita geser ke zona X saja yang  persentasenya lebih besar."</t>
        </is>
      </c>
      <c r="E21" s="87" t="n"/>
      <c r="F21" s="46" t="n"/>
    </row>
    <row r="22" ht="42" customHeight="1">
      <c r="B22" s="206" t="n"/>
      <c r="C22" s="115" t="inlineStr">
        <is>
          <t>Proaktif memikirkan alternatif tindakan apabila zona yang dituju penuh atau strategi utama gagal.</t>
        </is>
      </c>
      <c r="D22" s="115" t="inlineStr">
        <is>
          <t>Kalimat: "Kalau nanti di Ventus ternyata ada tim lain yang sedang antre, kita jangan buang waktu menunggu, langsung putar balik ke Aqua ya."</t>
        </is>
      </c>
      <c r="E22" s="87" t="n"/>
      <c r="F22" s="46" t="n"/>
    </row>
    <row r="23" ht="45.75" customHeight="1">
      <c r="B23" s="186" t="inlineStr">
        <is>
          <t>Karsa Jaya:
Excel in Execution</t>
        </is>
      </c>
      <c r="C23" s="115" t="inlineStr">
        <is>
          <t>Disiplin dan sigap saat berpindah zona atau memulai misi, tanpa membuang waktu.</t>
        </is>
      </c>
      <c r="D23" s="115" t="inlineStr">
        <is>
          <t>Langsung memimpin pergerakan dengan cepat saat peluit berbunyi dan berseru, "Ayo gerak sekarang, jangan sampai keduluan tim lain!"</t>
        </is>
      </c>
      <c r="E23" s="87" t="n"/>
      <c r="F23" s="46" t="n"/>
      <c r="H23" s="117" t="inlineStr">
        <is>
          <t>Karsa Jaya: Excellence in Execution</t>
        </is>
      </c>
      <c r="I23" s="118">
        <f>IF(COUNT(E23:E26)=0,"",SUM(E23:E26))</f>
        <v/>
      </c>
      <c r="J23" s="48">
        <f>IF(COUNT(E23:E26)=0,"",IF(I23&lt;=2,"Sangat Jarang / Tidak Muncul",IF(I23&lt;=4,"Kadang-Kadang",IF(I23&lt;=6,"Sering Muncul","Konsisten Muncul"))))</f>
        <v/>
      </c>
    </row>
    <row r="24" ht="42" customHeight="1">
      <c r="B24" s="205" t="n"/>
      <c r="C24" s="115" t="inlineStr">
        <is>
          <t>Menunjukkan kualitas kerja yang rapi dan presisi saat menyelesaikan misi teknis/logika.</t>
        </is>
      </c>
      <c r="D24" s="115" t="inlineStr">
        <is>
          <t>Saat menyusun rute atau balok/bola, ia bekerja dengan teliti sehingga tuntas di percobaan pertama tanpa ada barang yang jatuh/salah urut.</t>
        </is>
      </c>
      <c r="E24" s="87" t="n"/>
      <c r="F24" s="46" t="n"/>
    </row>
    <row r="25" ht="42" customHeight="1">
      <c r="B25" s="205" t="n"/>
      <c r="C25" s="115" t="inlineStr">
        <is>
          <t>Memantau pergerakan papan skor/waktu dan aktif mengingatkan tim menyesuaikan ritme.</t>
        </is>
      </c>
      <c r="D25" s="115" t="inlineStr">
        <is>
          <t>Kalimat: Sambil bermain ia melirik layar dan mengingatkan, "Bapak/Ibu, persentase kita baru  disalip Tim lain ini, yokk dicepetin ya!"</t>
        </is>
      </c>
      <c r="E25" s="87" t="n"/>
      <c r="F25" s="46" t="n"/>
    </row>
    <row r="26" ht="48" customHeight="1">
      <c r="B26" s="206" t="n"/>
      <c r="C26" s="115" t="inlineStr">
        <is>
          <t>Memastikan misi di zona yang dimasuki diselesaikan hingga tuntas demi poin maksimal.</t>
        </is>
      </c>
      <c r="D26" s="115" t="inlineStr">
        <is>
          <t>Kalimat: Saat tim mulai lelah dan ingin pindah, ia mengingatkan, "Tanggung, tinggal sisa satu rute lagi, kita bereskan sekalian di sini supaya poinnya maksimal."</t>
        </is>
      </c>
      <c r="E26" s="87" t="n"/>
      <c r="F26" s="46" t="n"/>
    </row>
    <row r="27" ht="15.75" customHeight="1">
      <c r="B27" s="34" t="n"/>
      <c r="C27" s="34" t="n"/>
      <c r="D27" s="34" t="n"/>
      <c r="E27" s="34" t="n"/>
      <c r="F27" s="34" t="n"/>
    </row>
    <row r="28" ht="15.75" customHeight="1">
      <c r="B28" s="34" t="n"/>
      <c r="C28" s="34" t="n"/>
      <c r="D28" s="34" t="n"/>
      <c r="E28" s="34" t="n"/>
      <c r="F28" s="34" t="n"/>
    </row>
    <row r="29" ht="15.75" customHeight="1">
      <c r="B29" s="34" t="n"/>
      <c r="C29" s="34" t="n"/>
      <c r="D29" s="34" t="n"/>
      <c r="E29" s="34" t="n"/>
      <c r="F29" s="34" t="n"/>
    </row>
    <row r="30" ht="15.75" customHeight="1">
      <c r="B30" s="34" t="n"/>
      <c r="C30" s="34" t="n"/>
      <c r="D30" s="34" t="n"/>
      <c r="E30" s="34" t="n"/>
      <c r="F30" s="34" t="n"/>
    </row>
    <row r="31" ht="15.75" customHeight="1">
      <c r="B31" s="34" t="n"/>
      <c r="C31" s="34" t="n"/>
      <c r="D31" s="34" t="n"/>
      <c r="E31" s="34" t="n"/>
      <c r="F31" s="34" t="n"/>
    </row>
    <row r="32" ht="15.75" customHeight="1">
      <c r="B32" s="34" t="n"/>
      <c r="C32" s="34" t="n"/>
      <c r="D32" s="34" t="n"/>
      <c r="E32" s="34" t="n"/>
      <c r="F32" s="34" t="n"/>
    </row>
    <row r="33" ht="15.75" customHeight="1">
      <c r="B33" s="34" t="n"/>
      <c r="C33" s="34" t="n"/>
      <c r="D33" s="34" t="n"/>
      <c r="E33" s="34" t="n"/>
      <c r="F33" s="34" t="n"/>
    </row>
    <row r="34" ht="15.75" customHeight="1">
      <c r="B34" s="34" t="n"/>
      <c r="C34" s="34" t="n"/>
      <c r="D34" s="34" t="n"/>
      <c r="E34" s="34" t="n"/>
      <c r="F34" s="34" t="n"/>
    </row>
    <row r="35" ht="15.75" customHeight="1">
      <c r="B35" s="34" t="n"/>
      <c r="C35" s="34" t="n"/>
      <c r="D35" s="34" t="n"/>
      <c r="E35" s="34" t="n"/>
      <c r="F35" s="34" t="n"/>
    </row>
    <row r="36" ht="15.75" customHeight="1">
      <c r="B36" s="34" t="n"/>
      <c r="C36" s="34" t="n"/>
      <c r="D36" s="34" t="n"/>
      <c r="E36" s="34" t="n"/>
      <c r="F36" s="34" t="n"/>
    </row>
    <row r="37" ht="15.75" customHeight="1">
      <c r="B37" s="34" t="n"/>
      <c r="C37" s="34" t="n"/>
      <c r="D37" s="34" t="n"/>
      <c r="E37" s="34" t="n"/>
      <c r="F37" s="34" t="n"/>
    </row>
    <row r="38" ht="15.75" customHeight="1">
      <c r="B38" s="34" t="n"/>
      <c r="C38" s="34" t="n"/>
      <c r="D38" s="34" t="n"/>
      <c r="E38" s="34" t="n"/>
      <c r="F38" s="34" t="n"/>
    </row>
  </sheetData>
  <mergeCells count="8">
    <mergeCell ref="B5:D5"/>
    <mergeCell ref="B23:B26"/>
    <mergeCell ref="B8:D8"/>
    <mergeCell ref="B15:B18"/>
    <mergeCell ref="B11:B14"/>
    <mergeCell ref="B7:D7"/>
    <mergeCell ref="B19:B22"/>
    <mergeCell ref="B6:D6"/>
  </mergeCells>
  <pageMargins left="0.7" right="0.7" top="0.75" bottom="0.75" header="0.511811023622047" footer="0.511811023622047"/>
  <pageSetup orientation="portrait" paperSize="9" horizontalDpi="300" verticalDpi="300"/>
</worksheet>
</file>

<file path=xl/worksheets/sheet26.xml><?xml version="1.0" encoding="utf-8"?>
<worksheet xmlns="http://schemas.openxmlformats.org/spreadsheetml/2006/main">
  <sheetPr>
    <tabColor rgb="FFC5E0B4"/>
    <outlinePr summaryBelow="1" summaryRight="1"/>
    <pageSetUpPr/>
  </sheetPr>
  <dimension ref="A1:H21"/>
  <sheetViews>
    <sheetView tabSelected="1" zoomScale="57" zoomScaleNormal="57" workbookViewId="0">
      <selection activeCell="F13" sqref="F13"/>
    </sheetView>
  </sheetViews>
  <sheetFormatPr baseColWidth="8" defaultColWidth="8.85546875" defaultRowHeight="15.75" customHeight="1"/>
  <cols>
    <col width="4.42578125" customWidth="1" style="4" min="1" max="1"/>
    <col width="20.28515625" customWidth="1" style="4" min="2" max="2"/>
    <col width="41.42578125" customWidth="1" style="4" min="3" max="3"/>
    <col width="28.28515625" customWidth="1" style="30" min="4" max="7"/>
    <col width="15.28515625" customWidth="1" style="4" min="8" max="8"/>
    <col width="8.85546875" customWidth="1" style="4" min="9" max="16384"/>
  </cols>
  <sheetData>
    <row r="1"/>
    <row r="2" ht="15.75" customHeight="1">
      <c r="B2" s="36" t="inlineStr">
        <is>
          <t>Day 2: Recap</t>
        </is>
      </c>
      <c r="C2" s="36" t="n"/>
    </row>
    <row r="3"/>
    <row r="4" ht="15.75" customHeight="1">
      <c r="B4" s="151" t="inlineStr">
        <is>
          <t>Cara Pengisian:</t>
        </is>
      </c>
    </row>
    <row r="5" ht="15.75" customHeight="1">
      <c r="B5" s="59" t="inlineStr">
        <is>
          <t>Penilaian dilakukan menggunakan skala 1–100 pada setiap Karsa yang dinilai.</t>
        </is>
      </c>
      <c r="C5" s="151" t="n"/>
      <c r="D5" s="151" t="n"/>
    </row>
    <row r="6" ht="15.75" customHeight="1">
      <c r="B6" s="59" t="inlineStr">
        <is>
          <t>Berikan nilai berdasarkan frekuensi, konsistensi, dan konteks kemunculan perilaku peserta sepanjang hari.</t>
        </is>
      </c>
      <c r="C6" s="151" t="n"/>
      <c r="D6" s="151" t="n"/>
    </row>
    <row r="7" ht="15.75" customHeight="1">
      <c r="B7" s="59" t="inlineStr">
        <is>
          <t>Gunakan keseluruhan observasi selama satu hari berlangsung sebagai dasar penilaian, bukan hanya satu momen tertentu.</t>
        </is>
      </c>
      <c r="C7" s="151" t="n"/>
      <c r="D7" s="151" t="n"/>
    </row>
    <row r="8" ht="15.75" customHeight="1">
      <c r="B8" s="59" t="inlineStr">
        <is>
          <t>Pilih rentang nilai yang paling menggambarkan kemunculan perilaku peserta pada masing-masing Karsa. Berikan nilai yang berbeda untuk setiap peserta di kelompok yang Anda observasi</t>
        </is>
      </c>
      <c r="C8" s="151" t="n"/>
      <c r="D8" s="151" t="n"/>
    </row>
    <row r="9" ht="15.75" customHeight="1">
      <c r="B9" s="4" t="inlineStr">
        <is>
          <t>Panduan deskripsi untuk setiap rentang skala penilaian telah disediakan sebagai acuan dalam memberikan nilai.</t>
        </is>
      </c>
    </row>
    <row r="10"/>
    <row r="11"/>
    <row r="12" ht="87.75" customHeight="1">
      <c r="B12" s="40" t="inlineStr">
        <is>
          <t>Kompetensi</t>
        </is>
      </c>
      <c r="C12" s="40" t="inlineStr">
        <is>
          <t>Definisi</t>
        </is>
      </c>
      <c r="D12" s="82" t="inlineStr">
        <is>
          <t>0 - 25
Sangat Jarang/Tidak Muncul
Perilaku tidak muncul sama sekali, atau hanya 1 kali di satu indikator sepanjang hari</t>
        </is>
      </c>
      <c r="E12" s="82" t="inlineStr">
        <is>
          <t>26 - 50
Kadang-Kadang Muncul
Perilaku muncul 2–3 kali, hanya dalam situasi tertentu atau saat didorong orang lain, di 1 atau 2 indikator sepanjang hari</t>
        </is>
      </c>
      <c r="F12" s="82" t="inlineStr">
        <is>
          <t>51 - 75
 Sering Muncul
Perilaku muncul 4–5 kali, secara mandiri dalam beragam konteks sepanjang sesi, di beberapa indikator (lebih dari 2) indikator sepanjang hari</t>
        </is>
      </c>
      <c r="G12" s="83" t="inlineStr">
        <is>
          <t>76 - 100
Konsisten Muncul
Perilaku muncul lebih 5 kali secara mandiri, terlihat alami, konsisten menyebar di hampir semua/seluruh indikator, dan merata di sepanjang hari sesuai dengan konteks situasi</t>
        </is>
      </c>
      <c r="H12" s="47" t="inlineStr">
        <is>
          <t>Bukti Perilaku</t>
        </is>
      </c>
    </row>
    <row r="13" ht="101.25" customHeight="1">
      <c r="B13" s="84" t="inlineStr">
        <is>
          <t>Karsa Satya – Being Sensitive to Risk</t>
        </is>
      </c>
      <c r="C13" s="84" t="inlineStr">
        <is>
          <t>Menunjukkan kepekaan terhadap potensi risiko, kepatuhan terhadap aturan dan prosedur, serta kehati-hatian dalam mengambil keputusan dan menjalankan tindakan. Mampu mempertimbangkan dampak dari keputusan yang diambil, menjaga kepercayaan, serta berani mengungkapkan hal-hal yang tidak sesuai dengan ketentuan atau berpotensi menimbulkan risiko bagi organisasi.</t>
        </is>
      </c>
      <c r="D13" s="85" t="n"/>
      <c r="E13" s="85" t="n"/>
      <c r="F13" s="85" t="n">
        <v>60</v>
      </c>
      <c r="G13" s="104" t="n"/>
      <c r="H13" s="46" t="inlineStr">
        <is>
          <t>Mengakui tantangan menghadapi anggota tim underperform dan tetap menjaga kepatuhan umum Day 3, namun refleksi peran diri belum sedalam peserta lain.</t>
        </is>
      </c>
    </row>
    <row r="14" ht="101.25" customHeight="1">
      <c r="B14" s="84" t="inlineStr">
        <is>
          <t>Karsa Daya – GRIT</t>
        </is>
      </c>
      <c r="C14" s="84" t="inlineStr">
        <is>
          <t>Menunjukkan ketangguhan, ketekunan, dan konsistensi dalam menyelesaikan tugas maupun menghadapi tantangan. Tetap berupaya mencapai tujuan, menjaga keterlibatan dan kontribusi, serta tidak mudah menyerah ketika menghadapi tekanan, hambatan, atau situasi yang sulit.</t>
        </is>
      </c>
      <c r="D14" s="85" t="n"/>
      <c r="E14" s="85" t="n"/>
      <c r="F14" s="85" t="n"/>
      <c r="G14" s="104" t="n">
        <v>85</v>
      </c>
      <c r="H14" s="46" t="inlineStr">
        <is>
          <t>Menunjukkan ketekunan kuat dalam Dominion dan Final Broadcast preparation; tetap berkontribusi aktif, berlatih ulang, dan menjaga energi saat aktivitas berlanjut.</t>
        </is>
      </c>
    </row>
    <row r="15" ht="101.25" customHeight="1">
      <c r="B15" s="84" t="inlineStr">
        <is>
          <t>Karsa Daya – Navigating Agility</t>
        </is>
      </c>
      <c r="C15" s="84" t="inlineStr">
        <is>
          <t>Menunjukkan kemampuan beradaptasi terhadap perubahan situasi, tantangan, maupun kebutuhan kerja yang berkembang. Mampu menyesuaikan pendekatan, cara kerja, dan pengambilan keputusan secara cepat dan relevan dalam menghadapi dinamika yang terjadi.</t>
        </is>
      </c>
      <c r="D15" s="85" t="n"/>
      <c r="E15" s="85" t="n"/>
      <c r="F15" s="85" t="n"/>
      <c r="G15" s="104" t="n">
        <v>80</v>
      </c>
      <c r="H15" s="46" t="inlineStr">
        <is>
          <t>Beradaptasi dengan strategi Caellum/Ignis/Terra, memakai replay untuk memperbaiki pendekatan, dan menyesuaikan ritme tim saat bergerak terlalu cepat.</t>
        </is>
      </c>
    </row>
    <row r="16" ht="101.25" customHeight="1">
      <c r="B16" s="84" t="inlineStr">
        <is>
          <t>Karsa Rasa – Customer First</t>
        </is>
      </c>
      <c r="C16" s="84" t="inlineStr">
        <is>
          <t>Menunjukkan kepedulian dan perhatian terhadap kebutuhan, kondisi, serta perspektif pelanggan atau stakeholder dalam proses pengambilan keputusan dan pelaksanaan pekerjaan. Mampu memahami kebutuhan pihak lain dan mempertimbangkannya dalam menentukan solusi, tindakan, maupun prioritas kerja.</t>
        </is>
      </c>
      <c r="D16" s="85" t="n"/>
      <c r="E16" s="85" t="n"/>
      <c r="F16" s="85" t="n">
        <v>65</v>
      </c>
      <c r="G16" s="104" t="n"/>
      <c r="H16" s="46" t="inlineStr">
        <is>
          <t>Menunjukkan perhatian pada kebutuhan tim/stakeholder melalui reflection tentang pengembangan anggota tim, namun bukti Customer First langsung terbatas.</t>
        </is>
      </c>
    </row>
    <row r="17" ht="101.25" customHeight="1">
      <c r="B17" s="84" t="inlineStr">
        <is>
          <t>Karsa Rasa – Building Partnership</t>
        </is>
      </c>
      <c r="C17" s="84" t="inlineStr">
        <is>
          <t>Menunjukkan kemampuan membangun hubungan kerja yang positif, kolaboratif, dan saling menghargai dengan berbagai pihak. Mampu melibatkan orang lain dalam proses kerja, menjaga komunikasi yang terbuka, serta membangun keselarasan untuk mencapai tujuan bersama.</t>
        </is>
      </c>
      <c r="D17" s="85" t="n"/>
      <c r="E17" s="85" t="n"/>
      <c r="F17" s="85" t="n"/>
      <c r="G17" s="104" t="n">
        <v>80</v>
      </c>
      <c r="H17" s="46" t="inlineStr">
        <is>
          <t>Membangun alignment lewat strategi pembagian game, diskusi Terra, stabilisasi ritme Ignis, dan apresiasi setelah keberhasilan tim.</t>
        </is>
      </c>
    </row>
    <row r="18" ht="101.25" customHeight="1">
      <c r="B18" s="84" t="inlineStr">
        <is>
          <t>Karsa Mahira – Being Proactive</t>
        </is>
      </c>
      <c r="C18" s="84" t="inlineStr">
        <is>
          <t>Menunjukkan inisiatif dalam mengambil tindakan, mencari solusi, dan menjalankan pekerjaan tanpa harus menunggu arahan. Mampu melihat kebutuhan atau potensi permasalahan lebih awal serta mengambil langkah yang diperlukan untuk mendukung pencapaian tujuan kerja.</t>
        </is>
      </c>
      <c r="D18" s="85" t="n"/>
      <c r="E18" s="85" t="n"/>
      <c r="F18" s="85" t="n"/>
      <c r="G18" s="104" t="n">
        <v>85</v>
      </c>
      <c r="H18" s="46" t="inlineStr">
        <is>
          <t>Proaktif mengusulkan pembagian game, pilihan bonus card yang lebih aman, strategi zona, dan revisi blocking performance.</t>
        </is>
      </c>
    </row>
    <row r="19" ht="101.25" customHeight="1">
      <c r="B19" s="84" t="inlineStr">
        <is>
          <t>Karsa Mahira – Relevant to Market</t>
        </is>
      </c>
      <c r="C19" s="84" t="inlineStr">
        <is>
          <t>Menunjukkan pemahaman terhadap kebutuhan bisnis, perkembangan lingkungan, dan kompetensi yang relevan dengan tantangan organisasi. Mampu menghubungkan solusi, ide, maupun pengembangan yang dilakukan dengan kebutuhan organisasi, pelanggan, dan dinamika pasar yang terus berkembang.</t>
        </is>
      </c>
      <c r="D19" s="85" t="n"/>
      <c r="E19" s="85" t="n"/>
      <c r="F19" s="85" t="n">
        <v>70</v>
      </c>
      <c r="G19" s="104" t="n"/>
      <c r="H19" s="46" t="inlineStr">
        <is>
          <t>Memberikan saran dan action plan yang cukup relevan pada reflection, namun kebutuhan coaching dan pemetaan masalah belum setajam peserta yang sangat spesifik.</t>
        </is>
      </c>
    </row>
    <row r="20" ht="101.25" customHeight="1">
      <c r="B20" s="84" t="inlineStr">
        <is>
          <t>Karsa Tumbuh – Growth Oriented</t>
        </is>
      </c>
      <c r="C20" s="84" t="inlineStr">
        <is>
          <t>Menunjukkan semangat untuk terus belajar, berkembang, dan memperbaiki diri dalam menghadapi perubahan dan tantangan. Mampu terbuka terhadap ide baru, mengembangkan pendekatan yang lebih efektif, serta menghadirkan solusi yang adaptif dan relevan dengan kebutuhan yang berkembang.</t>
        </is>
      </c>
      <c r="D20" s="85" t="n"/>
      <c r="E20" s="85" t="n"/>
      <c r="F20" s="85" t="n"/>
      <c r="G20" s="104" t="n">
        <v>85</v>
      </c>
      <c r="H20" s="46" t="inlineStr">
        <is>
          <t>Memanfaatkan replay, refleksi, dan adaptasi strategi; terbuka pada feedback timing performance dan mengembangkan pendekatan baru.</t>
        </is>
      </c>
    </row>
    <row r="21" ht="101.25" customHeight="1">
      <c r="B21" s="84" t="inlineStr">
        <is>
          <t>Karsa Jaya – Excellence in Execution</t>
        </is>
      </c>
      <c r="C21" s="84" t="inlineStr">
        <is>
          <t>Menunjukkan kemampuan mengeksekusi pekerjaan secara terarah, terstruktur, dan berorientasi hasil. Mampu menjaga kualitas pelaksanaan kerja, memastikan tindak lanjut berjalan dengan baik, serta menyelesaikan pekerjaan secara efektif untuk mencapai tujuan dan dampak yang diharapkan.</t>
        </is>
      </c>
      <c r="D21" s="85" t="n"/>
      <c r="E21" s="85" t="n"/>
      <c r="F21" s="85" t="n"/>
      <c r="G21" s="104" t="n">
        <v>90</v>
      </c>
      <c r="H21" s="46" t="inlineStr">
        <is>
          <t>Mengeksekusi Ignis dan Caellum dengan kuat, menjaga akurasi puzzle, memantau pilihan game, dan membantu menyelesaikan zona untuk hasil maksimal.</t>
        </is>
      </c>
    </row>
  </sheetData>
  <mergeCells count="1">
    <mergeCell ref="B4:D4"/>
  </mergeCells>
  <pageMargins left="0.7" right="0.7" top="0.75" bottom="0.75"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I25"/>
  <sheetViews>
    <sheetView showGridLines="0" zoomScaleNormal="100" workbookViewId="0">
      <pane xSplit="2" ySplit="6" topLeftCell="C7" activePane="bottomRight" state="frozen"/>
      <selection pane="bottomRight" activeCell="C23" sqref="C23"/>
      <selection pane="bottomLeft" activeCell="A7" sqref="A7"/>
      <selection pane="topRight" activeCell="C1" sqref="C1"/>
    </sheetView>
  </sheetViews>
  <sheetFormatPr baseColWidth="8" defaultColWidth="8.7109375" defaultRowHeight="14.45"/>
  <cols>
    <col width="3" customWidth="1" min="1" max="1"/>
    <col width="36" customWidth="1" min="2" max="2"/>
    <col width="14" customWidth="1" min="3" max="3"/>
    <col width="12" customWidth="1" min="4" max="8"/>
    <col width="40" customWidth="1" min="9" max="9"/>
  </cols>
  <sheetData>
    <row r="1"/>
    <row r="2" ht="25.5" customHeight="1">
      <c r="B2" s="170" t="inlineStr">
        <is>
          <t>DAY 3 — KONTRIBUSI KE SKOR TOTAL</t>
        </is>
      </c>
    </row>
    <row r="3">
      <c r="B3" s="67" t="inlineStr">
        <is>
          <t>Peserta:</t>
        </is>
      </c>
      <c r="C3" s="68">
        <f>'REKAP TOTAL (Auto)'!C3</f>
        <v/>
      </c>
      <c r="E3" s="171" t="inlineStr">
        <is>
          <t>Kontribusi = poin yang hari ini sumbang ke skor Karsa di Rekap 3 Hari</t>
        </is>
      </c>
    </row>
    <row r="4"/>
    <row r="5" ht="13.5" customHeight="1">
      <c r="E5" s="172" t="inlineStr">
        <is>
          <t>NILAI KEGIATAN HARI INI (0–100)</t>
        </is>
      </c>
    </row>
    <row r="6" ht="33.75" customHeight="1">
      <c r="B6" s="69" t="inlineStr">
        <is>
          <t>Kompetensi</t>
        </is>
      </c>
      <c r="C6" s="172" t="inlineStr">
        <is>
          <t>Kontribusi
hari ini (poin)</t>
        </is>
      </c>
      <c r="D6" s="70" t="inlineStr">
        <is>
          <t>Ignition</t>
        </is>
      </c>
      <c r="E6" s="70" t="inlineStr">
        <is>
          <t>Speed Coaching</t>
        </is>
      </c>
      <c r="F6" s="70" t="inlineStr">
        <is>
          <t>Dominion</t>
        </is>
      </c>
      <c r="G6" s="70" t="inlineStr">
        <is>
          <t>Form Reflection</t>
        </is>
      </c>
      <c r="H6" s="70" t="inlineStr">
        <is>
          <t>Final Peer</t>
        </is>
      </c>
      <c r="I6" s="172" t="inlineStr">
        <is>
          <t>Uraian (diisi asesor)</t>
        </is>
      </c>
    </row>
    <row r="7" ht="30" customHeight="1">
      <c r="B7" s="71" t="inlineStr">
        <is>
          <t>Karsa Satya – Being Sensitive to Risk</t>
        </is>
      </c>
      <c r="C7"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(Auto)'!R18*('Day 3 - 2.Form Indv Reflection'!L13/5*100),0))/(IF(ISNUMBER(IFERROR('Day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7" s="73" t="n"/>
      <c r="E7" s="73" t="n"/>
      <c r="F7" s="73" t="n"/>
      <c r="G7" s="73">
        <f>IFERROR('Day 3 - 2.Form Indv Reflection'!L13/5*100,"")</f>
        <v/>
      </c>
      <c r="H7" s="73" t="n"/>
      <c r="I7" s="74" t="n"/>
    </row>
    <row r="8" ht="30" customHeight="1">
      <c r="B8" s="71" t="inlineStr">
        <is>
          <t>Karsa Satya – General Observation</t>
        </is>
      </c>
      <c r="C8" s="7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(Auto)'!O19*('Day 3 - 1. Ignition'!I11/8*100),0))/(IF(ISNUMBER(IFERROR('Day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8" s="73">
        <f>IFERROR('Day 3 - 1. Ignition'!I11/8*100,"")</f>
        <v/>
      </c>
      <c r="E8" s="73" t="n"/>
      <c r="F8" s="73" t="n"/>
      <c r="G8" s="73" t="n"/>
      <c r="H8" s="73" t="n"/>
      <c r="I8" s="74" t="n"/>
    </row>
    <row r="9" ht="19.5" customHeight="1">
      <c r="B9" s="75" t="inlineStr">
        <is>
          <t xml:space="preserve">  → Karsa Satya (kontribusi Day 3)</t>
        </is>
      </c>
      <c r="C9" s="76">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(Auto)'!R18*('Day 3 - 2.Form Indv Reflection'!L13/5*100),0)+IFERROR('REKAP TOTAL (Auto)'!O19*('Day 3 - 1. Ignition'!I11/8*100),0))/(IF(ISNUMBER(IFERROR('Day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9" s="77" t="n"/>
      <c r="E9" s="77" t="n"/>
      <c r="F9" s="77" t="n"/>
      <c r="G9" s="77" t="n"/>
      <c r="H9" s="77" t="n"/>
      <c r="I9" s="78" t="n"/>
    </row>
    <row r="10" ht="30" customHeight="1">
      <c r="B10" s="71" t="inlineStr">
        <is>
          <t>Karsa Daya – GRIT</t>
        </is>
      </c>
      <c r="C10"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(Auto)'!O20*('Day 3 - 1. Ignition'!I12/8*100),0)+IFERROR('REKAP TOTAL (Auto)'!Q20*('Day 3 - 3. Dominion'!I11/8*100),0))/(IF(ISNUMBER(IFERROR('Day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0" s="73">
        <f>IFERROR('Day 3 - 1. Ignition'!I12/8*100,"")</f>
        <v/>
      </c>
      <c r="E10" s="73" t="n"/>
      <c r="F10" s="73">
        <f>IFERROR('Day 3 - 3. Dominion'!I11/8*100,"")</f>
        <v/>
      </c>
      <c r="G10" s="73" t="n"/>
      <c r="H10" s="73" t="n"/>
      <c r="I10" s="74" t="n"/>
    </row>
    <row r="11" ht="30" customHeight="1">
      <c r="B11" s="71" t="inlineStr">
        <is>
          <t>Karsa Daya – Navigating Agility</t>
        </is>
      </c>
      <c r="C11" s="7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(Auto)'!Q21*('Day 3 - 3. Dominion'!I11/8*100),0)+IFERROR('REKAP TOTAL (Auto)'!R21*('Day 3 - 2.Form Indv Reflection'!L16/5*100),0))/(IF(ISNUMBER(IFERROR('Day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1" s="73" t="n"/>
      <c r="E11" s="73" t="n"/>
      <c r="F11" s="73">
        <f>IFERROR('Day 3 - 3. Dominion'!I11/8*100,"")</f>
        <v/>
      </c>
      <c r="G11" s="73">
        <f>IFERROR('Day 3 - 2.Form Indv Reflection'!L16/5*100,"")</f>
        <v/>
      </c>
      <c r="H11" s="73" t="n"/>
      <c r="I11" s="74" t="n"/>
    </row>
    <row r="12" ht="19.5" customHeight="1">
      <c r="B12" s="75" t="inlineStr">
        <is>
          <t xml:space="preserve">  → Karsa Daya (kontribusi Day 3)</t>
        </is>
      </c>
      <c r="C12" s="76">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(Auto)'!O20*('Day 3 - 1. Ignition'!I12/8*100),0)+IFERROR('REKAP TOTAL (Auto)'!Q20*('Day 3 - 3. Dominion'!I11/8*100),0)+IFERROR('REKAP TOTAL (Auto)'!Q21*('Day 3 - 3. Dominion'!I11/8*100),0)+IFERROR('REKAP TOTAL (Auto)'!R21*('Day 3 - 2.Form Indv Reflection'!L16/5*100),0))/(IF(ISNUMBER(IFERROR('Day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12" s="77" t="n"/>
      <c r="E12" s="77" t="n"/>
      <c r="F12" s="77" t="n"/>
      <c r="G12" s="77" t="n"/>
      <c r="H12" s="77" t="n"/>
      <c r="I12" s="78" t="n"/>
    </row>
    <row r="13" ht="30" customHeight="1">
      <c r="B13" s="71" t="inlineStr">
        <is>
          <t>Karsa Rasa – Customer First</t>
        </is>
      </c>
      <c r="C13" s="72" t="n"/>
      <c r="D13" s="73" t="n"/>
      <c r="E13" s="73" t="n"/>
      <c r="F13" s="73" t="n"/>
      <c r="G13" s="73" t="n"/>
      <c r="H13" s="73" t="n"/>
      <c r="I13" s="74" t="n"/>
    </row>
    <row r="14" ht="30" customHeight="1">
      <c r="B14" s="71" t="inlineStr">
        <is>
          <t>Karsa Rasa – Building Partnership</t>
        </is>
      </c>
      <c r="C14" s="7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(Auto)'!P23*('Day 3 - 2. Speed Coaching'!I12/8*100),0)+IFERROR('REKAP TOTAL (Auto)'!Q23*('Day 3 - 3. Dominion'!I15/8*100),0)+IFERROR('REKAP TOTAL (Auto)'!R23*('Day 3 - 2.Form Indv Reflection'!L15/5*100),0))/(IF(ISNUMBER(IFERROR('Day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4" s="73" t="n"/>
      <c r="E14" s="73">
        <f>IFERROR('Day 3 - 2. Speed Coaching'!I12/8*100,"")</f>
        <v/>
      </c>
      <c r="F14" s="73">
        <f>IFERROR('Day 3 - 3. Dominion'!I15/8*100,"")</f>
        <v/>
      </c>
      <c r="G14" s="73">
        <f>IFERROR('Day 3 - 2.Form Indv Reflection'!L15/5*100,"")</f>
        <v/>
      </c>
      <c r="H14" s="73" t="n"/>
      <c r="I14" s="74" t="n"/>
    </row>
    <row r="15" ht="19.5" customHeight="1">
      <c r="B15" s="75" t="inlineStr">
        <is>
          <t xml:space="preserve">  → Karsa Rasa (kontribusi Day 3)</t>
        </is>
      </c>
      <c r="C15" s="76">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(Auto)'!P23*('Day 3 - 2. Speed Coaching'!I12/8*100),0)+IFERROR('REKAP TOTAL (Auto)'!Q23*('Day 3 - 3. Dominion'!I15/8*100),0)+IFERROR('REKAP TOTAL (Auto)'!R23*('Day 3 - 2.Form Indv Reflection'!L15/5*100),0))/(IF(ISNUMBER(IFERROR('Day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15" s="77" t="n"/>
      <c r="E15" s="77" t="n"/>
      <c r="F15" s="77" t="n"/>
      <c r="G15" s="77" t="n"/>
      <c r="H15" s="77" t="n"/>
      <c r="I15" s="78" t="n"/>
    </row>
    <row r="16" ht="30" customHeight="1">
      <c r="B16" s="71" t="inlineStr">
        <is>
          <t>Karsa Mahira – Being Proactive</t>
        </is>
      </c>
      <c r="C16"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(Auto)'!Q24*('Day 3 - 3. Dominion'!I13/8*100),0)+IFERROR('REKAP TOTAL (Auto)'!R24*('Day 3 - 2.Form Indv Reflection'!L14/5*100),0))/(IF(ISNUMBER(IFERROR('Day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6" s="73" t="n"/>
      <c r="E16" s="73" t="n"/>
      <c r="F16" s="73">
        <f>IFERROR('Day 3 - 3. Dominion'!I13/8*100,"")</f>
        <v/>
      </c>
      <c r="G16" s="73">
        <f>IFERROR('Day 3 - 2.Form Indv Reflection'!L14/5*100,"")</f>
        <v/>
      </c>
      <c r="H16" s="73" t="n"/>
      <c r="I16" s="74" t="n"/>
    </row>
    <row r="17" ht="30" customHeight="1">
      <c r="B17" s="71" t="inlineStr">
        <is>
          <t>Karsa Mahira – Relevant to Market</t>
        </is>
      </c>
      <c r="C17" s="7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(Auto)'!P25*('Day 3 - 2. Speed Coaching'!I13/8*100),0))/(IF(ISNUMBER(IFERROR('Day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7" s="73" t="n"/>
      <c r="E17" s="73">
        <f>IFERROR('Day 3 - 2. Speed Coaching'!I13/8*100,"")</f>
        <v/>
      </c>
      <c r="F17" s="73" t="n"/>
      <c r="G17" s="73" t="n"/>
      <c r="H17" s="73" t="n"/>
      <c r="I17" s="74" t="n"/>
    </row>
    <row r="18" ht="19.5" customHeight="1">
      <c r="B18" s="75" t="inlineStr">
        <is>
          <t xml:space="preserve">  → Karsa Mahira (kontribusi Day 3)</t>
        </is>
      </c>
      <c r="C18" s="76">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(Auto)'!Q24*('Day 3 - 3. Dominion'!I13/8*100),0)+IFERROR('REKAP TOTAL (Auto)'!R24*('Day 3 - 2.Form Indv Reflection'!L14/5*100),0)+IFERROR('REKAP TOTAL (Auto)'!P25*('Day 3 - 2. Speed Coaching'!I13/8*100),0))/(IF(ISNUMBER(IFERROR('Day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18" s="77" t="n"/>
      <c r="E18" s="77" t="n"/>
      <c r="F18" s="77" t="n"/>
      <c r="G18" s="77" t="n"/>
      <c r="H18" s="77" t="n"/>
      <c r="I18" s="78" t="n"/>
    </row>
    <row r="19" ht="30" customHeight="1">
      <c r="B19" s="71" t="inlineStr">
        <is>
          <t>Karsa Tumbuh – Growth Oriented</t>
        </is>
      </c>
      <c r="C19" s="72">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(Auto)'!Q26*('Day 3 - 3. Dominion'!I12/8*100),0))/(IF(ISNUMBER(IFERROR('Day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19" s="73" t="n"/>
      <c r="E19" s="73" t="n"/>
      <c r="F19" s="73">
        <f>IFERROR('Day 3 - 3. Dominion'!I12/8*100,"")</f>
        <v/>
      </c>
      <c r="G19" s="73" t="n"/>
      <c r="H19" s="73" t="n"/>
      <c r="I19" s="74" t="n"/>
    </row>
    <row r="20" ht="19.5" customHeight="1">
      <c r="B20" s="75" t="inlineStr">
        <is>
          <t xml:space="preserve">  → Karsa Tumbuh (kontribusi Day 3)</t>
        </is>
      </c>
      <c r="C20" s="76">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(Auto)'!Q26*('Day 3 - 3. Dominion'!I12/8*100),0))/(IF(ISNUMBER(IFERROR('Day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20" s="77" t="n"/>
      <c r="E20" s="77" t="n"/>
      <c r="F20" s="77" t="n"/>
      <c r="G20" s="77" t="n"/>
      <c r="H20" s="77" t="n"/>
      <c r="I20" s="78" t="n"/>
    </row>
    <row r="21" ht="30" customHeight="1">
      <c r="B21" s="71" t="inlineStr">
        <is>
          <t>Karsa Jaya – Excellence in Execution</t>
        </is>
      </c>
      <c r="C21" s="72">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(Auto)'!Q27*('Day 3 - 3. Dominion'!I14/8*100),0))/(IF(ISNUMBER(IFERROR('Day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1" s="73" t="n"/>
      <c r="E21" s="73" t="n"/>
      <c r="F21" s="73">
        <f>IFERROR('Day 3 - 3. Dominion'!I14/8*100,"")</f>
        <v/>
      </c>
      <c r="G21" s="73" t="n"/>
      <c r="H21" s="73" t="n"/>
      <c r="I21" s="74" t="n"/>
    </row>
    <row r="22" ht="19.5" customHeight="1">
      <c r="B22" s="75" t="inlineStr">
        <is>
          <t xml:space="preserve">  → Karsa Jaya (kontribusi Day 3)</t>
        </is>
      </c>
      <c r="C22" s="76">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(Auto)'!Q27*('Day 3 - 3. Dominion'!I14/8*100),0))/(IF(ISNUMBER(IFERROR('Day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22" s="77" t="n"/>
      <c r="E22" s="77" t="n"/>
      <c r="F22" s="77" t="n"/>
      <c r="G22" s="77" t="n"/>
      <c r="H22" s="77" t="n"/>
      <c r="I22" s="78" t="n"/>
    </row>
    <row r="23" ht="24" customHeight="1">
      <c r="B23" s="79" t="inlineStr">
        <is>
          <t>NILAI AGREGAT 6 KARSA — kontribusi Day 3</t>
        </is>
      </c>
      <c r="C23" s="80">
        <f>IFERROR(AVERAGE(C9,C12,C15,C18,C20,C22),"")</f>
        <v/>
      </c>
      <c r="D23" s="81" t="n"/>
      <c r="E23" s="81" t="n"/>
      <c r="F23" s="81" t="n"/>
      <c r="G23" s="81" t="n"/>
      <c r="H23" s="81" t="n"/>
      <c r="I23" s="78" t="n"/>
    </row>
    <row r="24"/>
    <row r="25" ht="48" customHeight="1">
      <c r="B25" s="173" t="inlineStr">
        <is>
          <t>Kolom 'Kontribusi hari ini' = bagian skor Karsa yang berasal dari kegiatan Day 3 (memakai bobot framework &amp; pembagi global). Jumlah kontribusi Day 1+2+3 tiap Karsa = skor TOTAL di sheet 'Rekap 3 Hari'. Kolom kanan = nilai mentah 0–100 tiap kegiatan hari ini (hijau kuat, merah lemah).</t>
        </is>
      </c>
    </row>
  </sheetData>
  <mergeCells count="4">
    <mergeCell ref="E3:I3"/>
    <mergeCell ref="E5:H5"/>
    <mergeCell ref="B2:D2"/>
    <mergeCell ref="B25:I25"/>
  </mergeCells>
  <conditionalFormatting sqref="E7:H23">
    <cfRule type="colorScale" priority="2">
      <colorScale>
        <cfvo type="num" val="0"/>
        <cfvo type="num" val="50"/>
        <cfvo type="num" val="100"/>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T29"/>
  <sheetViews>
    <sheetView showGridLines="0" zoomScaleNormal="100" workbookViewId="0">
      <pane xSplit="2" ySplit="17" topLeftCell="C18" activePane="bottomRight" state="frozen"/>
      <selection pane="bottomRight" activeCell="F6" sqref="F6"/>
      <selection pane="bottomLeft" activeCell="A18" sqref="A18"/>
      <selection pane="topRight" activeCell="C1" sqref="C1"/>
    </sheetView>
  </sheetViews>
  <sheetFormatPr baseColWidth="8" defaultColWidth="8.7109375" defaultRowHeight="14.45"/>
  <cols>
    <col width="3" customWidth="1" min="1" max="1"/>
    <col width="22" customWidth="1" min="2" max="2"/>
    <col width="8.42578125" customWidth="1" min="3" max="19"/>
    <col width="13" customWidth="1" min="20" max="20"/>
  </cols>
  <sheetData>
    <row r="1"/>
    <row r="2" ht="25.5" customHeight="1">
      <c r="B2" s="170" t="inlineStr">
        <is>
          <t>REKAP 3 HARI — SKOR PER KARSA (bobot per-kegiatan framework)</t>
        </is>
      </c>
    </row>
    <row r="3">
      <c r="B3" s="67" t="inlineStr">
        <is>
          <t>Peserta:</t>
        </is>
      </c>
      <c r="C3" s="119" t="inlineStr">
        <is>
          <t>(isi inisial)</t>
        </is>
      </c>
    </row>
    <row r="4"/>
    <row r="5" ht="25.5" customHeight="1">
      <c r="B5" s="189" t="inlineStr">
        <is>
          <t>Karsa</t>
        </is>
      </c>
      <c r="C5" s="189" t="inlineStr">
        <is>
          <t>Day 1</t>
        </is>
      </c>
      <c r="D5" s="189" t="inlineStr">
        <is>
          <t>Day 2</t>
        </is>
      </c>
      <c r="E5" s="189" t="inlineStr">
        <is>
          <t>Day 3</t>
        </is>
      </c>
      <c r="F5" s="189" t="inlineStr">
        <is>
          <t>TOTAL
(0–100)</t>
        </is>
      </c>
      <c r="G5" s="189" t="inlineStr">
        <is>
          <t>Band</t>
        </is>
      </c>
      <c r="H5" s="207" t="n"/>
      <c r="I5" s="207" t="n"/>
      <c r="J5" s="207" t="n"/>
      <c r="K5" s="208" t="n"/>
    </row>
    <row r="6" ht="24" customHeight="1">
      <c r="B6" s="120" t="inlineStr">
        <is>
          <t>Karsa Satya</t>
        </is>
      </c>
      <c r="C6" s="121">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(Auto)'!F18*('Day 1 - 4. Black Box'!I19/8*100),0)+IFERROR('REKAP TOTAL (Auto)'!H18*('Day 1 - 5. Panel Black Box'!L16/5*100),0)+IFERROR('REKAP TOTAL (Auto)'!I18*('Day 1 - 5. Peer Black Box'!L15/5*100),0)+IFERROR('REKAP TOTAL (Auto)'!C19*('Day 1 - 1. Launchpad'!I12/8*100),0)+IFERROR('REKAP TOTAL (Auto)'!D19*('Day 1 - 2. Talkshow'!I12/8*100),0)+IFERROR('REKAP TOTAL (Auto)'!F19*('Day 1 - 4. Black Box'!I20/8*100),0))/(IF(ISNUMBER(IFERROR('Day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D6" s="121">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(Auto)'!J18*('Day 2- 2. Operation the organization Protect'!I12/8*100),0)+IFERROR('REKAP TOTAL (Auto)'!L18*('Day 2 - 4. Mission '!I14/8*100),0)+IFERROR('REKAP TOTAL (Auto)'!N18*('Day 2- 2. Operation-Slides'!L13/5*100),0)+IFERROR('REKAP TOTAL (Auto)'!K19*('Day 2 - 3. Transmission'!I11/8*100),0))/(IF(ISNUMBER(IFERROR('Day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E6" s="121">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(Auto)'!R18*('Day 3 - 2.Form Indv Reflection'!L13/5*100),0)+IFERROR('REKAP TOTAL (Auto)'!O19*('Day 3 - 1. Ignition'!I11/8*100),0))/(IF(ISNUMBER(IFERROR('Day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F6" s="122">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(Auto)'!F18*('Day 1 - 4. Black Box'!I19/8*100),0)+IFERROR('REKAP TOTAL (Auto)'!H18*('Day 1 - 5. Panel Black Box'!L16/5*100),0)+IFERROR('REKAP TOTAL (Auto)'!I18*('Day 1 - 5. Peer Black Box'!L15/5*100),0)+IFERROR('REKAP TOTAL (Auto)'!J18*('Day 2- 2. Operation the organization Protect'!I12/8*100),0)+IFERROR('REKAP TOTAL (Auto)'!L18*('Day 2 - 4. Mission '!I14/8*100),0)+IFERROR('REKAP TOTAL (Auto)'!N18*('Day 2- 2. Operation-Slides'!L13/5*100),0)+IFERROR('REKAP TOTAL (Auto)'!R18*('Day 3 - 2.Form Indv Reflection'!L13/5*100),0)+IFERROR('REKAP TOTAL (Auto)'!C19*('Day 1 - 1. Launchpad'!I12/8*100),0)+IFERROR('REKAP TOTAL (Auto)'!D19*('Day 1 - 2. Talkshow'!I12/8*100),0)+IFERROR('REKAP TOTAL (Auto)'!F19*('Day 1 - 4. Black Box'!I20/8*100),0)+IFERROR('REKAP TOTAL (Auto)'!K19*('Day 2 - 3. Transmission'!I11/8*100),0)+IFERROR('REKAP TOTAL (Auto)'!O19*('Day 3 - 1. Ignition'!I11/8*100),0))/(IF(ISNUMBER(IFERROR('Day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c r="G6" s="190">
        <f>IF(F6="","",IF(F6&lt;=25,"Sangat Jarang / Tidak Muncul",IF(F6&lt;=50,"Kadang-Kadang",IF(F6&lt;=75,"Sering Muncul","Konsisten Muncul"))))</f>
        <v/>
      </c>
      <c r="H6" s="207" t="n"/>
      <c r="I6" s="207" t="n"/>
      <c r="J6" s="207" t="n"/>
      <c r="K6" s="207" t="n"/>
    </row>
    <row r="7" ht="24" customHeight="1">
      <c r="B7" s="120" t="inlineStr">
        <is>
          <t>Karsa Daya</t>
        </is>
      </c>
      <c r="C7" s="121">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(Auto)'!C20*('Day 1 - 1. Launchpad'!I13/8*100),0)+IFERROR('REKAP TOTAL (Auto)'!D20*('Day 1 - 2. Talkshow'!I13/8*100),0)+IFERROR('REKAP TOTAL (Auto)'!E20*('Day 1 - 3. Mission'!I13/8*100),0)+IFERROR('REKAP TOTAL (Auto)'!F20*('Day 1 - 4. Black Box'!I18/8*100),0)+IFERROR('REKAP TOTAL (Auto)'!G20*('Day 1 - 6. Assignment'!L16/5*100),0)+IFERROR('REKAP TOTAL (Auto)'!E21*('Day 1 - 3. Mission'!I13/8*100),0)+IFERROR('REKAP TOTAL (Auto)'!F21*('Day 1 - 4. Black Box'!I18/8*100),0)+IFERROR('REKAP TOTAL (Auto)'!G21*('Day 1 - 6. Assignment'!L17/5*100),0))/(IF(ISNUMBER(IFERROR('Day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D7" s="121">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(Auto)'!K20*('Day 2 - 3. Transmission'!I12/8*100),0)+IFERROR('REKAP TOTAL (Auto)'!L20*('Day 2 - 4. Mission '!I12/8*100),0)+IFERROR('REKAP TOTAL (Auto)'!M20*('Day 2 - 5.Final Broadcast(Prep)'!I12/8*100),0)+IFERROR('REKAP TOTAL (Auto)'!L21*('Day 2 - 4. Mission '!I12/8*100),0))/(IF(ISNUMBER(IFERROR('Day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E7" s="121">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(Auto)'!O20*('Day 3 - 1. Ignition'!I12/8*100),0)+IFERROR('REKAP TOTAL (Auto)'!Q20*('Day 3 - 3. Dominion'!I11/8*100),0)+IFERROR('REKAP TOTAL (Auto)'!Q21*('Day 3 - 3. Dominion'!I11/8*100),0)+IFERROR('REKAP TOTAL (Auto)'!R21*('Day 3 - 2.Form Indv Reflection'!L16/5*100),0))/(IF(ISNUMBER(IFERROR('Day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F7" s="122">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(Auto)'!C20*('Day 1 - 1. Launchpad'!I13/8*100),0)+IFERROR('REKAP TOTAL (Auto)'!D20*('Day 1 - 2. Talkshow'!I13/8*100),0)+IFERROR('REKAP TOTAL (Auto)'!E20*('Day 1 - 3. Mission'!I13/8*100),0)+IFERROR('REKAP TOTAL (Auto)'!F20*('Day 1 - 4. Black Box'!I18/8*100),0)+IFERROR('REKAP TOTAL (Auto)'!G20*('Day 1 - 6. Assignment'!L16/5*100),0)+IFERROR('REKAP TOTAL (Auto)'!K20*('Day 2 - 3. Transmission'!I12/8*100),0)+IFERROR('REKAP TOTAL (Auto)'!L20*('Day 2 - 4. Mission '!I12/8*100),0)+IFERROR('REKAP TOTAL (Auto)'!M20*('Day 2 - 5.Final Broadcast(Prep)'!I12/8*100),0)+IFERROR('REKAP TOTAL (Auto)'!O20*('Day 3 - 1. Ignition'!I12/8*100),0)+IFERROR('REKAP TOTAL (Auto)'!Q20*('Day 3 - 3. Dominion'!I11/8*100),0)+IFERROR('REKAP TOTAL (Auto)'!E21*('Day 1 - 3. Mission'!I13/8*100),0)+IFERROR('REKAP TOTAL (Auto)'!F21*('Day 1 - 4. Black Box'!I18/8*100),0)+IFERROR('REKAP TOTAL (Auto)'!G21*('Day 1 - 6. Assignment'!L17/5*100),0)+IFERROR('REKAP TOTAL (Auto)'!L21*('Day 2 - 4. Mission '!I12/8*100),0)+IFERROR('REKAP TOTAL (Auto)'!Q21*('Day 3 - 3. Dominion'!I11/8*100),0)+IFERROR('REKAP TOTAL (Auto)'!R21*('Day 3 - 2.Form Indv Reflection'!L16/5*100),0))/(IF(ISNUMBER(IFERROR('Day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c r="G7" s="190">
        <f>IF(F7="","",IF(F7&lt;=25,"Sangat Jarang / Tidak Muncul",IF(F7&lt;=50,"Kadang-Kadang",IF(F7&lt;=75,"Sering Muncul","Konsisten Muncul"))))</f>
        <v/>
      </c>
      <c r="H7" s="207" t="n"/>
      <c r="I7" s="207" t="n"/>
      <c r="J7" s="207" t="n"/>
      <c r="K7" s="207" t="n"/>
    </row>
    <row r="8" ht="24" customHeight="1">
      <c r="B8" s="120" t="inlineStr">
        <is>
          <t>Karsa Rasa</t>
        </is>
      </c>
      <c r="C8" s="121">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(Auto)'!F22*('Day 1 - 4. Black Box'!I12/8*100),0)+IFERROR('REKAP TOTAL (Auto)'!H22*('Day 1 - 5. Panel Black Box'!L13/5*100),0)+IFERROR('REKAP TOTAL (Auto)'!I22*('Day 1 - 5. Peer Black Box'!L12/5*100),0)+IFERROR('REKAP TOTAL (Auto)'!E23*('Day 1 - 3. Mission'!I14/8*100),0)+IFERROR('REKAP TOTAL (Auto)'!F23*('Day 1 - 4. Black Box'!I13/8*100),0)+IFERROR('REKAP TOTAL (Auto)'!G23*('Day 1 - 6. Assignment'!L12/5*100),0))/(IF(ISNUMBER(IFERROR('Day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D8" s="121">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(Auto)'!N22*('Day 2- 2. Operation-Slides'!L16/5*100),0)+IFERROR('REKAP TOTAL (Auto)'!J23*('Day 2- 2. Operation the organization Protect'!I15/8*100),0)+IFERROR('REKAP TOTAL (Auto)'!L23*('Day 2 - 4. Mission '!I13/8*100),0)+IFERROR('REKAP TOTAL (Auto)'!M23*('Day 2 - 5.Final Broadcast(Prep)'!I13/8*100),0))/(IF(ISNUMBER(IFERROR('Day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E8" s="121">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(Auto)'!P23*('Day 3 - 2. Speed Coaching'!I12/8*100),0)+IFERROR('REKAP TOTAL (Auto)'!Q23*('Day 3 - 3. Dominion'!I15/8*100),0)+IFERROR('REKAP TOTAL (Auto)'!R23*('Day 3 - 2.Form Indv Reflection'!L15/5*100),0))/(IF(ISNUMBER(IFERROR('Day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F8" s="122">
        <f>IF((IF(ISNUMBER(IFERROR('Day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(Auto)'!F22*('Day 1 - 4. Black Box'!I12/8*100),0)+IFERROR('REKAP TOTAL (Auto)'!H22*('Day 1 - 5. Panel Black Box'!L13/5*100),0)+IFERROR('REKAP TOTAL (Auto)'!I22*('Day 1 - 5. Peer Black Box'!L12/5*100),0)+IFERROR('REKAP TOTAL (Auto)'!N22*('Day 2- 2. Operation-Slides'!L16/5*100),0)+IFERROR('REKAP TOTAL (Auto)'!E23*('Day 1 - 3. Mission'!I14/8*100),0)+IFERROR('REKAP TOTAL (Auto)'!F23*('Day 1 - 4. Black Box'!I13/8*100),0)+IFERROR('REKAP TOTAL (Auto)'!G23*('Day 1 - 6. Assignment'!L12/5*100),0)+IFERROR('REKAP TOTAL (Auto)'!J23*('Day 2- 2. Operation the organization Protect'!I15/8*100),0)+IFERROR('REKAP TOTAL (Auto)'!L23*('Day 2 - 4. Mission '!I13/8*100),0)+IFERROR('REKAP TOTAL (Auto)'!M23*('Day 2 - 5.Final Broadcast(Prep)'!I13/8*100),0)+IFERROR('REKAP TOTAL (Auto)'!P23*('Day 3 - 2. Speed Coaching'!I12/8*100),0)+IFERROR('REKAP TOTAL (Auto)'!Q23*('Day 3 - 3. Dominion'!I15/8*100),0)+IFERROR('REKAP TOTAL (Auto)'!R23*('Day 3 - 2.Form Indv Reflection'!L15/5*100),0))/(IF(ISNUMBER(IFERROR('Day 1 - 4. Black Box'!I12/8*100,"")),'REKAP TOTAL (Auto)'!F22,0)+IF(ISNUMBER(IFERROR('Day 1 - 5. Panel Black Box'!L13/5*100,"")),'REKAP TOTAL (Auto)'!H22,0)+IF(ISNUMBER(IFERROR('Day 1 - 5. Peer Black Box'!L12/5*100,"")),'REKAP TOTAL (Auto)'!I22,0)+IF(ISNUMBER(IFERROR('Day 2- 2. Operation-Slides'!L16/5*100,"")),'REKAP TOTAL (Auto)'!N22,0)+IF(ISNUMBER(IFERROR('Day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c r="G8" s="190">
        <f>IF(F8="","",IF(F8&lt;=25,"Sangat Jarang / Tidak Muncul",IF(F8&lt;=50,"Kadang-Kadang",IF(F8&lt;=75,"Sering Muncul","Konsisten Muncul"))))</f>
        <v/>
      </c>
      <c r="H8" s="207" t="n"/>
      <c r="I8" s="207" t="n"/>
      <c r="J8" s="207" t="n"/>
      <c r="K8" s="207" t="n"/>
    </row>
    <row r="9" ht="24" customHeight="1">
      <c r="B9" s="120" t="inlineStr">
        <is>
          <t>Karsa Mahira</t>
        </is>
      </c>
      <c r="C9" s="121">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(Auto)'!F24*('Day 1 - 4. Black Box'!I14/8*100),0)+IFERROR('REKAP TOTAL (Auto)'!F25*('Day 1 - 4. Black Box'!I15/8*100),0)+IFERROR('REKAP TOTAL (Auto)'!G25*('Day 1 - 6. Assignment'!L13/5*100),0)+IFERROR('REKAP TOTAL (Auto)'!H25*('Day 1 - 5. Panel Black Box'!L14/5*100),0)+IFERROR('REKAP TOTAL (Auto)'!I25*('Day 1 - 5. Peer Black Box'!L13/5*100),0))/(IF(ISNUMBER(IFERROR('Day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D9" s="121">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(Auto)'!J24*('Day 2- 2. Operation the organization Protect'!I14/8*100),0)+IFERROR('REKAP TOTAL (Auto)'!M24*('Day 2 - 5.Final Broadcast(Prep)'!I15/8*100),0)+IFERROR('REKAP TOTAL (Auto)'!N25*('Day 2- 2. Operation-Slides'!L15/5*100),0))/(IF(ISNUMBER(IFERROR('Day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E9" s="121">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(Auto)'!Q24*('Day 3 - 3. Dominion'!I13/8*100),0)+IFERROR('REKAP TOTAL (Auto)'!R24*('Day 3 - 2.Form Indv Reflection'!L14/5*100),0)+IFERROR('REKAP TOTAL (Auto)'!P25*('Day 3 - 2. Speed Coaching'!I13/8*100),0))/(IF(ISNUMBER(IFERROR('Day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F9" s="122">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(Auto)'!F24*('Day 1 - 4. Black Box'!I14/8*100),0)+IFERROR('REKAP TOTAL (Auto)'!J24*('Day 2- 2. Operation the organization Protect'!I14/8*100),0)+IFERROR('REKAP TOTAL (Auto)'!M24*('Day 2 - 5.Final Broadcast(Prep)'!I15/8*100),0)+IFERROR('REKAP TOTAL (Auto)'!Q24*('Day 3 - 3. Dominion'!I13/8*100),0)+IFERROR('REKAP TOTAL (Auto)'!R24*('Day 3 - 2.Form Indv Reflection'!L14/5*100),0)+IFERROR('REKAP TOTAL (Auto)'!F25*('Day 1 - 4. Black Box'!I15/8*100),0)+IFERROR('REKAP TOTAL (Auto)'!G25*('Day 1 - 6. Assignment'!L13/5*100),0)+IFERROR('REKAP TOTAL (Auto)'!H25*('Day 1 - 5. Panel Black Box'!L14/5*100),0)+IFERROR('REKAP TOTAL (Auto)'!I25*('Day 1 - 5. Peer Black Box'!L13/5*100),0)+IFERROR('REKAP TOTAL (Auto)'!N25*('Day 2- 2. Operation-Slides'!L15/5*100),0)+IFERROR('REKAP TOTAL (Auto)'!P25*('Day 3 - 2. Speed Coaching'!I13/8*100),0))/(IF(ISNUMBER(IFERROR('Day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c r="G9" s="190">
        <f>IF(F9="","",IF(F9&lt;=25,"Sangat Jarang / Tidak Muncul",IF(F9&lt;=50,"Kadang-Kadang",IF(F9&lt;=75,"Sering Muncul","Konsisten Muncul"))))</f>
        <v/>
      </c>
      <c r="H9" s="207" t="n"/>
      <c r="I9" s="207" t="n"/>
      <c r="J9" s="207" t="n"/>
      <c r="K9" s="207" t="n"/>
    </row>
    <row r="10" ht="24" customHeight="1">
      <c r="B10" s="120" t="inlineStr">
        <is>
          <t>Karsa Tumbuh</t>
        </is>
      </c>
      <c r="C10" s="121">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(Auto)'!F26*('Day 1 - 4. Black Box'!I16/8*100),0)+IFERROR('REKAP TOTAL (Auto)'!H26*('Day 1 - 5. Panel Black Box'!L15/5*100),0)+IFERROR('REKAP TOTAL (Auto)'!I26*('Day 1 - 5. Peer Black Box'!L14/5*100),0))/(IF(ISNUMBER(IFERROR('Day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D10" s="121">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(Auto)'!J26*('Day 2- 2. Operation the organization Protect'!I17/8*100),0)+IFERROR('REKAP TOTAL (Auto)'!M26*('Day 2 - 5.Final Broadcast(Prep)'!I14/8*100),0))/(IF(ISNUMBER(IFERROR('Day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E10" s="121">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(Auto)'!Q26*('Day 3 - 3. Dominion'!I12/8*100),0))/(IF(ISNUMBER(IFERROR('Day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F10" s="122">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(Auto)'!F26*('Day 1 - 4. Black Box'!I16/8*100),0)+IFERROR('REKAP TOTAL (Auto)'!H26*('Day 1 - 5. Panel Black Box'!L15/5*100),0)+IFERROR('REKAP TOTAL (Auto)'!I26*('Day 1 - 5. Peer Black Box'!L14/5*100),0)+IFERROR('REKAP TOTAL (Auto)'!J26*('Day 2- 2. Operation the organization Protect'!I17/8*100),0)+IFERROR('REKAP TOTAL (Auto)'!M26*('Day 2 - 5.Final Broadcast(Prep)'!I14/8*100),0)+IFERROR('REKAP TOTAL (Auto)'!Q26*('Day 3 - 3. Dominion'!I12/8*100),0))/(IF(ISNUMBER(IFERROR('Day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c r="G10" s="190">
        <f>IF(F10="","",IF(F10&lt;=25,"Sangat Jarang / Tidak Muncul",IF(F10&lt;=50,"Kadang-Kadang",IF(F10&lt;=75,"Sering Muncul","Konsisten Muncul"))))</f>
        <v/>
      </c>
      <c r="H10" s="207" t="n"/>
      <c r="I10" s="207" t="n"/>
      <c r="J10" s="207" t="n"/>
      <c r="K10" s="207" t="n"/>
    </row>
    <row r="11" ht="24" customHeight="1">
      <c r="B11" s="120" t="inlineStr">
        <is>
          <t>Karsa Jaya</t>
        </is>
      </c>
      <c r="C11" s="121">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(Auto)'!F27*('Day 1 - 4. Black Box'!I17/8*100),0)+IFERROR('REKAP TOTAL (Auto)'!G27*('Day 1 - 6. Assignment'!L18/5*100),0))/(IF(ISNUMBER(IFERROR('Day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D11" s="121">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(Auto)'!J27*('Day 2- 2. Operation the organization Protect'!I13/8*100),0)+IFERROR('REKAP TOTAL (Auto)'!N27*('Day 2- 2. Operation-Slides'!L14/5*100),0))/(IF(ISNUMBER(IFERROR('Day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E11" s="121">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(Auto)'!Q27*('Day 3 - 3. Dominion'!I14/8*100),0))/(IF(ISNUMBER(IFERROR('Day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F11" s="122">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(Auto)'!F27*('Day 1 - 4. Black Box'!I17/8*100),0)+IFERROR('REKAP TOTAL (Auto)'!G27*('Day 1 - 6. Assignment'!L18/5*100),0)+IFERROR('REKAP TOTAL (Auto)'!J27*('Day 2- 2. Operation the organization Protect'!I13/8*100),0)+IFERROR('REKAP TOTAL (Auto)'!N27*('Day 2- 2. Operation-Slides'!L14/5*100),0)+IFERROR('REKAP TOTAL (Auto)'!Q27*('Day 3 - 3. Dominion'!I14/8*100),0))/(IF(ISNUMBER(IFERROR('Day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c r="G11" s="190">
        <f>IF(F11="","",IF(F11&lt;=25,"Sangat Jarang / Tidak Muncul",IF(F11&lt;=50,"Kadang-Kadang",IF(F11&lt;=75,"Sering Muncul","Konsisten Muncul"))))</f>
        <v/>
      </c>
      <c r="H11" s="207" t="n"/>
      <c r="I11" s="207" t="n"/>
      <c r="J11" s="207" t="n"/>
      <c r="K11" s="207" t="n"/>
    </row>
    <row r="12" ht="16.5" customHeight="1">
      <c r="B12" s="123" t="inlineStr">
        <is>
          <t>RATA-RATA 6 KARSA</t>
        </is>
      </c>
      <c r="C12" s="124">
        <f>IFERROR(AVERAGE(C6:C11),"")</f>
        <v/>
      </c>
      <c r="D12" s="124">
        <f>IFERROR(AVERAGE(D6:D11),"")</f>
        <v/>
      </c>
      <c r="E12" s="124">
        <f>IFERROR(AVERAGE(E6:E11),"")</f>
        <v/>
      </c>
      <c r="F12" s="125">
        <f>IFERROR(AVERAGE(F6:F11),"")</f>
        <v/>
      </c>
      <c r="G12" s="191">
        <f>IF(F12="","",IF(F12&lt;=25,"Sangat Jarang / Tidak Muncul",IF(F12&lt;=50,"Kadang-Kadang",IF(F12&lt;=75,"Sering Muncul","Konsisten Muncul"))))</f>
        <v/>
      </c>
      <c r="H12" s="207" t="n"/>
      <c r="I12" s="207" t="n"/>
      <c r="J12" s="207" t="n"/>
      <c r="K12" s="207" t="n"/>
    </row>
    <row r="13" ht="15" customHeight="1">
      <c r="B13" s="173" t="inlineStr">
        <is>
          <t>Day 1 + Day 2 + Day 3 = TOTAL. Kolom Day = kontribusi (poin) hari itu ke skor Karsa.</t>
        </is>
      </c>
    </row>
    <row r="14"/>
    <row r="15" ht="18" customHeight="1">
      <c r="B15" s="192" t="inlineStr">
        <is>
          <t>BOBOT FRAMEWORK 3 HARI (%) — sel kuning bisa diubah; tiap Karsa total 100%</t>
        </is>
      </c>
    </row>
    <row r="16" ht="13.5" customHeight="1">
      <c r="C16" s="193" t="inlineStr">
        <is>
          <t>DAY 1</t>
        </is>
      </c>
      <c r="J16" s="194" t="inlineStr">
        <is>
          <t>DAY 2</t>
        </is>
      </c>
      <c r="O16" s="195" t="inlineStr">
        <is>
          <t>DAY 3</t>
        </is>
      </c>
    </row>
    <row r="17" ht="39.75" customHeight="1">
      <c r="B17" s="69" t="inlineStr">
        <is>
          <t>Kompetensi</t>
        </is>
      </c>
      <c r="C17" s="70" t="inlineStr">
        <is>
          <t>Launchpad</t>
        </is>
      </c>
      <c r="D17" s="70" t="inlineStr">
        <is>
          <t>Talkshow</t>
        </is>
      </c>
      <c r="E17" s="70" t="inlineStr">
        <is>
          <t>Mission</t>
        </is>
      </c>
      <c r="F17" s="70" t="inlineStr">
        <is>
          <t>Black Box</t>
        </is>
      </c>
      <c r="G17" s="70" t="inlineStr">
        <is>
          <t>Indiv Assignment</t>
        </is>
      </c>
      <c r="H17" s="70" t="inlineStr">
        <is>
          <t>BB Panel</t>
        </is>
      </c>
      <c r="I17" s="70" t="inlineStr">
        <is>
          <t>BB Peer</t>
        </is>
      </c>
      <c r="J17" s="70" t="inlineStr">
        <is>
          <t>Op. Protect</t>
        </is>
      </c>
      <c r="K17" s="70" t="inlineStr">
        <is>
          <t>Transmission</t>
        </is>
      </c>
      <c r="L17" s="70" t="inlineStr">
        <is>
          <t>Mission</t>
        </is>
      </c>
      <c r="M17" s="70" t="inlineStr">
        <is>
          <t>Final Broadcast</t>
        </is>
      </c>
      <c r="N17" s="70" t="inlineStr">
        <is>
          <t>Slides</t>
        </is>
      </c>
      <c r="O17" s="70" t="inlineStr">
        <is>
          <t>Ignition</t>
        </is>
      </c>
      <c r="P17" s="70" t="inlineStr">
        <is>
          <t>Speed Coaching</t>
        </is>
      </c>
      <c r="Q17" s="70" t="inlineStr">
        <is>
          <t>Dominion</t>
        </is>
      </c>
      <c r="R17" s="70" t="inlineStr">
        <is>
          <t>Form Reflection</t>
        </is>
      </c>
      <c r="S17" s="70" t="inlineStr">
        <is>
          <t>Final Peer</t>
        </is>
      </c>
      <c r="T17" s="70" t="inlineStr">
        <is>
          <t>Skor sub-komp
(0–100)</t>
        </is>
      </c>
    </row>
    <row r="18" ht="27.75" customHeight="1">
      <c r="B18" s="71" t="inlineStr">
        <is>
          <t>Karsa Satya – Being Sensitive to Risk</t>
        </is>
      </c>
      <c r="C18" s="126" t="n"/>
      <c r="D18" s="126" t="n"/>
      <c r="E18" s="126" t="n"/>
      <c r="F18" s="127" t="n">
        <v>20</v>
      </c>
      <c r="G18" s="126" t="n"/>
      <c r="H18" s="127" t="n">
        <v>10</v>
      </c>
      <c r="I18" s="127" t="n">
        <v>5</v>
      </c>
      <c r="J18" s="127" t="n">
        <v>25</v>
      </c>
      <c r="K18" s="126" t="n"/>
      <c r="L18" s="127" t="n">
        <v>5</v>
      </c>
      <c r="M18" s="126" t="n"/>
      <c r="N18" s="127" t="n">
        <v>15</v>
      </c>
      <c r="O18" s="126" t="n"/>
      <c r="P18" s="126" t="n"/>
      <c r="Q18" s="126" t="n"/>
      <c r="R18" s="127" t="n">
        <v>7.5</v>
      </c>
      <c r="S18" s="126" t="n"/>
      <c r="T18" s="128">
        <f>IF((IF(ISNUMBER(IFERROR('Day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(Auto)'!R18,0))=0,"",(IFERROR('REKAP TOTAL (Auto)'!F18*('Day 1 - 4. Black Box'!I19/8*100),0)+IFERROR('REKAP TOTAL (Auto)'!H18*('Day 1 - 5. Panel Black Box'!L16/5*100),0)+IFERROR('REKAP TOTAL (Auto)'!I18*('Day 1 - 5. Peer Black Box'!L15/5*100),0)+IFERROR('REKAP TOTAL (Auto)'!J18*('Day 2- 2. Operation the organization Protect'!I12/8*100),0)+IFERROR('REKAP TOTAL (Auto)'!L18*('Day 2 - 4. Mission '!I14/8*100),0)+IFERROR('REKAP TOTAL (Auto)'!N18*('Day 2- 2. Operation-Slides'!L13/5*100),0)+IFERROR('REKAP TOTAL (Auto)'!R18*('Day 3 - 2.Form Indv Reflection'!L13/5*100),0))/(IF(ISNUMBER(IFERROR('Day 1 - 4. Black Box'!I19/8*100,"")),'REKAP TOTAL (Auto)'!F18,0)+IF(ISNUMBER(IFERROR('Day 1 - 5. Panel Black Box'!L16/5*100,"")),'REKAP TOTAL (Auto)'!H18,0)+IF(ISNUMBER(IFERROR('Day 1 - 5. Peer Black Box'!L15/5*100,"")),'REKAP TOTAL (Auto)'!I18,0)+IF(ISNUMBER(IFERROR('Day 2- 2. Operation the organization Protect'!I12/8*100,"")),'REKAP TOTAL (Auto)'!J18,0)+IF(ISNUMBER(IFERROR('Day 2 - 4. Mission '!I14/8*100,"")),'REKAP TOTAL (Auto)'!L18,0)+IF(ISNUMBER(IFERROR('Day 2- 2. Operation-Slides'!L13/5*100,"")),'REKAP TOTAL (Auto)'!N18,0)+IF(ISNUMBER(IFERROR('Day 3 - 2.Form Indv Reflection'!L13/5*100,"")),'REKAP TOTAL (Auto)'!R18,0)))</f>
        <v/>
      </c>
    </row>
    <row r="19" ht="27.75" customHeight="1">
      <c r="B19" s="71" t="inlineStr">
        <is>
          <t>Karsa Satya – General Observation</t>
        </is>
      </c>
      <c r="C19" s="127" t="n">
        <v>2.5</v>
      </c>
      <c r="D19" s="127" t="n">
        <v>2.5</v>
      </c>
      <c r="E19" s="126" t="n"/>
      <c r="F19" s="127" t="n">
        <v>2.5</v>
      </c>
      <c r="G19" s="126" t="n"/>
      <c r="H19" s="126" t="n"/>
      <c r="I19" s="126" t="n"/>
      <c r="J19" s="126" t="n"/>
      <c r="K19" s="127" t="n">
        <v>2.5</v>
      </c>
      <c r="L19" s="126" t="n"/>
      <c r="M19" s="126" t="n"/>
      <c r="N19" s="126" t="n"/>
      <c r="O19" s="127" t="n">
        <v>2.5</v>
      </c>
      <c r="P19" s="126" t="n"/>
      <c r="Q19" s="126" t="n"/>
      <c r="R19" s="126" t="n"/>
      <c r="S19" s="126" t="n"/>
      <c r="T19" s="128">
        <f>IF((IF(ISNUMBER(IFERROR('Day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(Auto)'!O19,0))=0,"",(IFERROR('REKAP TOTAL (Auto)'!C19*('Day 1 - 1. Launchpad'!I12/8*100),0)+IFERROR('REKAP TOTAL (Auto)'!D19*('Day 1 - 2. Talkshow'!I12/8*100),0)+IFERROR('REKAP TOTAL (Auto)'!F19*('Day 1 - 4. Black Box'!I20/8*100),0)+IFERROR('REKAP TOTAL (Auto)'!K19*('Day 2 - 3. Transmission'!I11/8*100),0)+IFERROR('REKAP TOTAL (Auto)'!O19*('Day 3 - 1. Ignition'!I11/8*100),0))/(IF(ISNUMBER(IFERROR('Day 1 - 1. Launchpad'!I12/8*100,"")),'REKAP TOTAL (Auto)'!C19,0)+IF(ISNUMBER(IFERROR('Day 1 - 2. Talkshow'!I12/8*100,"")),'REKAP TOTAL (Auto)'!D19,0)+IF(ISNUMBER(IFERROR('Day 1 - 4. Black Box'!I20/8*100,"")),'REKAP TOTAL (Auto)'!F19,0)+IF(ISNUMBER(IFERROR('Day 2 - 3. Transmission'!I11/8*100,"")),'REKAP TOTAL (Auto)'!K19,0)+IF(ISNUMBER(IFERROR('Day 3 - 1. Ignition'!I11/8*100,"")),'REKAP TOTAL (Auto)'!O19,0)))</f>
        <v/>
      </c>
    </row>
    <row r="20" ht="27.75" customHeight="1">
      <c r="B20" s="71" t="inlineStr">
        <is>
          <t>Karsa Daya – GRIT</t>
        </is>
      </c>
      <c r="C20" s="127" t="n">
        <v>2.5</v>
      </c>
      <c r="D20" s="127" t="n">
        <v>2.5</v>
      </c>
      <c r="E20" s="127" t="n">
        <v>2.5</v>
      </c>
      <c r="F20" s="127" t="n">
        <v>7.5</v>
      </c>
      <c r="G20" s="127" t="n">
        <v>10</v>
      </c>
      <c r="H20" s="126" t="n"/>
      <c r="I20" s="126" t="n"/>
      <c r="J20" s="126" t="n"/>
      <c r="K20" s="127" t="n">
        <v>2.5</v>
      </c>
      <c r="L20" s="127" t="n">
        <v>2.5</v>
      </c>
      <c r="M20" s="127" t="n">
        <v>2.5</v>
      </c>
      <c r="N20" s="126" t="n"/>
      <c r="O20" s="127" t="n">
        <v>2.5</v>
      </c>
      <c r="P20" s="126" t="n"/>
      <c r="Q20" s="127" t="n">
        <v>17.5</v>
      </c>
      <c r="R20" s="126" t="n"/>
      <c r="S20" s="126" t="n"/>
      <c r="T20" s="128">
        <f>IF((IF(ISNUMBER(IFERROR('Day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(Auto)'!Q20,0))=0,"",(IFERROR('REKAP TOTAL (Auto)'!C20*('Day 1 - 1. Launchpad'!I13/8*100),0)+IFERROR('REKAP TOTAL (Auto)'!D20*('Day 1 - 2. Talkshow'!I13/8*100),0)+IFERROR('REKAP TOTAL (Auto)'!E20*('Day 1 - 3. Mission'!I13/8*100),0)+IFERROR('REKAP TOTAL (Auto)'!F20*('Day 1 - 4. Black Box'!I18/8*100),0)+IFERROR('REKAP TOTAL (Auto)'!G20*('Day 1 - 6. Assignment'!L16/5*100),0)+IFERROR('REKAP TOTAL (Auto)'!K20*('Day 2 - 3. Transmission'!I12/8*100),0)+IFERROR('REKAP TOTAL (Auto)'!L20*('Day 2 - 4. Mission '!I12/8*100),0)+IFERROR('REKAP TOTAL (Auto)'!M20*('Day 2 - 5.Final Broadcast(Prep)'!I12/8*100),0)+IFERROR('REKAP TOTAL (Auto)'!O20*('Day 3 - 1. Ignition'!I12/8*100),0)+IFERROR('REKAP TOTAL (Auto)'!Q20*('Day 3 - 3. Dominion'!I11/8*100),0))/(IF(ISNUMBER(IFERROR('Day 1 - 1. Launchpad'!I13/8*100,"")),'REKAP TOTAL (Auto)'!C20,0)+IF(ISNUMBER(IFERROR('Day 1 - 2. Talkshow'!I13/8*100,"")),'REKAP TOTAL (Auto)'!D20,0)+IF(ISNUMBER(IFERROR('Day 1 - 3. Mission'!I13/8*100,"")),'REKAP TOTAL (Auto)'!E20,0)+IF(ISNUMBER(IFERROR('Day 1 - 4. Black Box'!I18/8*100,"")),'REKAP TOTAL (Auto)'!F20,0)+IF(ISNUMBER(IFERROR('Day 1 - 6. Assignment'!L16/5*100,"")),'REKAP TOTAL (Auto)'!G20,0)+IF(ISNUMBER(IFERROR('Day 2 - 3. Transmission'!I12/8*100,"")),'REKAP TOTAL (Auto)'!K20,0)+IF(ISNUMBER(IFERROR('Day 2 - 4. Mission '!I12/8*100,"")),'REKAP TOTAL (Auto)'!L20,0)+IF(ISNUMBER(IFERROR('Day 2 - 5.Final Broadcast(Prep)'!I12/8*100,"")),'REKAP TOTAL (Auto)'!M20,0)+IF(ISNUMBER(IFERROR('Day 3 - 1. Ignition'!I12/8*100,"")),'REKAP TOTAL (Auto)'!O20,0)+IF(ISNUMBER(IFERROR('Day 3 - 3. Dominion'!I11/8*100,"")),'REKAP TOTAL (Auto)'!Q20,0)))</f>
        <v/>
      </c>
    </row>
    <row r="21" ht="27.75" customHeight="1">
      <c r="B21" s="71" t="inlineStr">
        <is>
          <t>Karsa Daya – Navigating Agility</t>
        </is>
      </c>
      <c r="C21" s="126" t="n"/>
      <c r="D21" s="126" t="n"/>
      <c r="E21" s="127" t="n">
        <v>2.5</v>
      </c>
      <c r="F21" s="127" t="n">
        <v>7.5</v>
      </c>
      <c r="G21" s="127" t="n">
        <v>10</v>
      </c>
      <c r="H21" s="126" t="n"/>
      <c r="I21" s="126" t="n"/>
      <c r="J21" s="126" t="n"/>
      <c r="K21" s="126" t="n"/>
      <c r="L21" s="127" t="n">
        <v>2.5</v>
      </c>
      <c r="M21" s="126" t="n"/>
      <c r="N21" s="126" t="n"/>
      <c r="O21" s="126" t="n"/>
      <c r="P21" s="126" t="n"/>
      <c r="Q21" s="127" t="n">
        <v>15</v>
      </c>
      <c r="R21" s="127" t="n">
        <v>10</v>
      </c>
      <c r="S21" s="126" t="n"/>
      <c r="T21" s="128">
        <f>IF((IF(ISNUMBER(IFERROR('Day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(Auto)'!R21,0))=0,"",(IFERROR('REKAP TOTAL (Auto)'!E21*('Day 1 - 3. Mission'!I13/8*100),0)+IFERROR('REKAP TOTAL (Auto)'!F21*('Day 1 - 4. Black Box'!I18/8*100),0)+IFERROR('REKAP TOTAL (Auto)'!G21*('Day 1 - 6. Assignment'!L17/5*100),0)+IFERROR('REKAP TOTAL (Auto)'!L21*('Day 2 - 4. Mission '!I12/8*100),0)+IFERROR('REKAP TOTAL (Auto)'!Q21*('Day 3 - 3. Dominion'!I11/8*100),0)+IFERROR('REKAP TOTAL (Auto)'!R21*('Day 3 - 2.Form Indv Reflection'!L16/5*100),0))/(IF(ISNUMBER(IFERROR('Day 1 - 3. Mission'!I13/8*100,"")),'REKAP TOTAL (Auto)'!E21,0)+IF(ISNUMBER(IFERROR('Day 1 - 4. Black Box'!I18/8*100,"")),'REKAP TOTAL (Auto)'!F21,0)+IF(ISNUMBER(IFERROR('Day 1 - 6. Assignment'!L17/5*100,"")),'REKAP TOTAL (Auto)'!G21,0)+IF(ISNUMBER(IFERROR('Day 2 - 4. Mission '!I12/8*100,"")),'REKAP TOTAL (Auto)'!L21,0)+IF(ISNUMBER(IFERROR('Day 3 - 3. Dominion'!I11/8*100,"")),'REKAP TOTAL (Auto)'!Q21,0)+IF(ISNUMBER(IFERROR('Day 3 - 2.Form Indv Reflection'!L16/5*100,"")),'REKAP TOTAL (Auto)'!R21,0)))</f>
        <v/>
      </c>
    </row>
    <row r="22" ht="27.75" customHeight="1">
      <c r="B22" s="71" t="inlineStr">
        <is>
          <t>Karsa Rasa – Customer First</t>
        </is>
      </c>
      <c r="C22" s="126" t="n"/>
      <c r="D22" s="126" t="n"/>
      <c r="E22" s="126" t="n"/>
      <c r="F22" s="127" t="n">
        <v>15</v>
      </c>
      <c r="G22" s="126" t="n"/>
      <c r="H22" s="127" t="n">
        <v>12.5</v>
      </c>
      <c r="I22" s="127" t="n">
        <v>5</v>
      </c>
      <c r="J22" s="126" t="n"/>
      <c r="K22" s="126" t="n"/>
      <c r="L22" s="126" t="n"/>
      <c r="M22" s="126" t="n"/>
      <c r="N22" s="127" t="n">
        <v>5</v>
      </c>
      <c r="O22" s="126" t="n"/>
      <c r="P22" s="126" t="n"/>
      <c r="Q22" s="126" t="n"/>
      <c r="R22" s="126" t="n"/>
      <c r="S22" s="126" t="n"/>
      <c r="T22" s="128">
        <f>IF((IF(ISNUMBER(IFERROR('Day 1 - 4. Black Box'!I12/8*100,"")),'REKAP TOTAL (Auto)'!F22,0)+IF(ISNUMBER(IFERROR('Day 1 - 5. Panel Black Box'!L13/5*100,"")),'REKAP TOTAL (Auto)'!H22,0)+IF(ISNUMBER(IFERROR('Day 1 - 5. Peer Black Box'!L12/5*100,"")),'REKAP TOTAL (Auto)'!I22,0)+IF(ISNUMBER(IFERROR('Day 2- 2. Operation-Slides'!L16/5*100,"")),'REKAP TOTAL (Auto)'!N22,0))=0,"",(IFERROR('REKAP TOTAL (Auto)'!F22*('Day 1 - 4. Black Box'!I12/8*100),0)+IFERROR('REKAP TOTAL (Auto)'!H22*('Day 1 - 5. Panel Black Box'!L13/5*100),0)+IFERROR('REKAP TOTAL (Auto)'!I22*('Day 1 - 5. Peer Black Box'!L12/5*100),0)+IFERROR('REKAP TOTAL (Auto)'!N22*('Day 2- 2. Operation-Slides'!L16/5*100),0))/(IF(ISNUMBER(IFERROR('Day 1 - 4. Black Box'!I12/8*100,"")),'REKAP TOTAL (Auto)'!F22,0)+IF(ISNUMBER(IFERROR('Day 1 - 5. Panel Black Box'!L13/5*100,"")),'REKAP TOTAL (Auto)'!H22,0)+IF(ISNUMBER(IFERROR('Day 1 - 5. Peer Black Box'!L12/5*100,"")),'REKAP TOTAL (Auto)'!I22,0)+IF(ISNUMBER(IFERROR('Day 2- 2. Operation-Slides'!L16/5*100,"")),'REKAP TOTAL (Auto)'!N22,0)))</f>
        <v/>
      </c>
    </row>
    <row r="23" ht="27.75" customHeight="1">
      <c r="B23" s="71" t="inlineStr">
        <is>
          <t>Karsa Rasa – Building Partnership</t>
        </is>
      </c>
      <c r="C23" s="126" t="n"/>
      <c r="D23" s="126" t="n"/>
      <c r="E23" s="127" t="n">
        <v>5</v>
      </c>
      <c r="F23" s="127" t="n">
        <v>10</v>
      </c>
      <c r="G23" s="127" t="n">
        <v>7.5</v>
      </c>
      <c r="H23" s="126" t="n"/>
      <c r="I23" s="126" t="n"/>
      <c r="J23" s="127" t="n">
        <v>10</v>
      </c>
      <c r="K23" s="126" t="n"/>
      <c r="L23" s="127" t="n">
        <v>5</v>
      </c>
      <c r="M23" s="127" t="n">
        <v>2.5</v>
      </c>
      <c r="N23" s="126" t="n"/>
      <c r="O23" s="126" t="n"/>
      <c r="P23" s="127" t="n">
        <v>7.5</v>
      </c>
      <c r="Q23" s="127" t="n">
        <v>10</v>
      </c>
      <c r="R23" s="127" t="n">
        <v>5</v>
      </c>
      <c r="S23" s="126" t="n"/>
      <c r="T23" s="128">
        <f>IF((IF(ISNUMBER(IFERROR('Day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(Auto)'!R23,0))=0,"",(IFERROR('REKAP TOTAL (Auto)'!E23*('Day 1 - 3. Mission'!I14/8*100),0)+IFERROR('REKAP TOTAL (Auto)'!F23*('Day 1 - 4. Black Box'!I13/8*100),0)+IFERROR('REKAP TOTAL (Auto)'!G23*('Day 1 - 6. Assignment'!L12/5*100),0)+IFERROR('REKAP TOTAL (Auto)'!J23*('Day 2- 2. Operation the organization Protect'!I15/8*100),0)+IFERROR('REKAP TOTAL (Auto)'!L23*('Day 2 - 4. Mission '!I13/8*100),0)+IFERROR('REKAP TOTAL (Auto)'!M23*('Day 2 - 5.Final Broadcast(Prep)'!I13/8*100),0)+IFERROR('REKAP TOTAL (Auto)'!P23*('Day 3 - 2. Speed Coaching'!I12/8*100),0)+IFERROR('REKAP TOTAL (Auto)'!Q23*('Day 3 - 3. Dominion'!I15/8*100),0)+IFERROR('REKAP TOTAL (Auto)'!R23*('Day 3 - 2.Form Indv Reflection'!L15/5*100),0))/(IF(ISNUMBER(IFERROR('Day 1 - 3. Mission'!I14/8*100,"")),'REKAP TOTAL (Auto)'!E23,0)+IF(ISNUMBER(IFERROR('Day 1 - 4. Black Box'!I13/8*100,"")),'REKAP TOTAL (Auto)'!F23,0)+IF(ISNUMBER(IFERROR('Day 1 - 6. Assignment'!L12/5*100,"")),'REKAP TOTAL (Auto)'!G23,0)+IF(ISNUMBER(IFERROR('Day 2- 2. Operation the organization Protect'!I15/8*100,"")),'REKAP TOTAL (Auto)'!J23,0)+IF(ISNUMBER(IFERROR('Day 2 - 4. Mission '!I13/8*100,"")),'REKAP TOTAL (Auto)'!L23,0)+IF(ISNUMBER(IFERROR('Day 2 - 5.Final Broadcast(Prep)'!I13/8*100,"")),'REKAP TOTAL (Auto)'!M23,0)+IF(ISNUMBER(IFERROR('Day 3 - 2. Speed Coaching'!I12/8*100,"")),'REKAP TOTAL (Auto)'!P23,0)+IF(ISNUMBER(IFERROR('Day 3 - 3. Dominion'!I15/8*100,"")),'REKAP TOTAL (Auto)'!Q23,0)+IF(ISNUMBER(IFERROR('Day 3 - 2.Form Indv Reflection'!L15/5*100,"")),'REKAP TOTAL (Auto)'!R23,0)))</f>
        <v/>
      </c>
    </row>
    <row r="24" ht="27.75" customHeight="1">
      <c r="B24" s="71" t="inlineStr">
        <is>
          <t>Karsa Mahira – Being Proactive</t>
        </is>
      </c>
      <c r="C24" s="126" t="n"/>
      <c r="D24" s="126" t="n"/>
      <c r="E24" s="126" t="n"/>
      <c r="F24" s="127" t="n">
        <v>15</v>
      </c>
      <c r="G24" s="126" t="n"/>
      <c r="H24" s="126" t="n"/>
      <c r="I24" s="126" t="n"/>
      <c r="J24" s="127" t="n">
        <v>5</v>
      </c>
      <c r="K24" s="126" t="n"/>
      <c r="L24" s="126" t="n"/>
      <c r="M24" s="127" t="n">
        <v>10</v>
      </c>
      <c r="N24" s="126" t="n"/>
      <c r="O24" s="126" t="n"/>
      <c r="P24" s="126" t="n"/>
      <c r="Q24" s="127" t="n">
        <v>15</v>
      </c>
      <c r="R24" s="127" t="n">
        <v>2.5</v>
      </c>
      <c r="S24" s="126" t="n"/>
      <c r="T24" s="128">
        <f>IF((IF(ISNUMBER(IFERROR('Day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(Auto)'!R24,0))=0,"",(IFERROR('REKAP TOTAL (Auto)'!F24*('Day 1 - 4. Black Box'!I14/8*100),0)+IFERROR('REKAP TOTAL (Auto)'!J24*('Day 2- 2. Operation the organization Protect'!I14/8*100),0)+IFERROR('REKAP TOTAL (Auto)'!M24*('Day 2 - 5.Final Broadcast(Prep)'!I15/8*100),0)+IFERROR('REKAP TOTAL (Auto)'!Q24*('Day 3 - 3. Dominion'!I13/8*100),0)+IFERROR('REKAP TOTAL (Auto)'!R24*('Day 3 - 2.Form Indv Reflection'!L14/5*100),0))/(IF(ISNUMBER(IFERROR('Day 1 - 4. Black Box'!I14/8*100,"")),'REKAP TOTAL (Auto)'!F24,0)+IF(ISNUMBER(IFERROR('Day 2- 2. Operation the organization Protect'!I14/8*100,"")),'REKAP TOTAL (Auto)'!J24,0)+IF(ISNUMBER(IFERROR('Day 2 - 5.Final Broadcast(Prep)'!I15/8*100,"")),'REKAP TOTAL (Auto)'!M24,0)+IF(ISNUMBER(IFERROR('Day 3 - 3. Dominion'!I13/8*100,"")),'REKAP TOTAL (Auto)'!Q24,0)+IF(ISNUMBER(IFERROR('Day 3 - 2.Form Indv Reflection'!L14/5*100,"")),'REKAP TOTAL (Auto)'!R24,0)))</f>
        <v/>
      </c>
    </row>
    <row r="25" ht="27.75" customHeight="1">
      <c r="B25" s="71" t="inlineStr">
        <is>
          <t>Karsa Mahira – Relevant to Market</t>
        </is>
      </c>
      <c r="C25" s="126" t="n"/>
      <c r="D25" s="126" t="n"/>
      <c r="E25" s="126" t="n"/>
      <c r="F25" s="127" t="n">
        <v>15</v>
      </c>
      <c r="G25" s="127" t="n">
        <v>7.5</v>
      </c>
      <c r="H25" s="127" t="n">
        <v>15</v>
      </c>
      <c r="I25" s="127" t="n">
        <v>5</v>
      </c>
      <c r="J25" s="126" t="n"/>
      <c r="K25" s="126" t="n"/>
      <c r="L25" s="126" t="n"/>
      <c r="M25" s="126" t="n"/>
      <c r="N25" s="127" t="n">
        <v>5</v>
      </c>
      <c r="O25" s="126" t="n"/>
      <c r="P25" s="127" t="n">
        <v>5</v>
      </c>
      <c r="Q25" s="126" t="n"/>
      <c r="R25" s="126" t="n"/>
      <c r="S25" s="126" t="n"/>
      <c r="T25" s="128">
        <f>IF((IF(ISNUMBER(IFERROR('Day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(Auto)'!P25,0))=0,"",(IFERROR('REKAP TOTAL (Auto)'!F25*('Day 1 - 4. Black Box'!I15/8*100),0)+IFERROR('REKAP TOTAL (Auto)'!G25*('Day 1 - 6. Assignment'!L13/5*100),0)+IFERROR('REKAP TOTAL (Auto)'!H25*('Day 1 - 5. Panel Black Box'!L14/5*100),0)+IFERROR('REKAP TOTAL (Auto)'!I25*('Day 1 - 5. Peer Black Box'!L13/5*100),0)+IFERROR('REKAP TOTAL (Auto)'!N25*('Day 2- 2. Operation-Slides'!L15/5*100),0)+IFERROR('REKAP TOTAL (Auto)'!P25*('Day 3 - 2. Speed Coaching'!I13/8*100),0))/(IF(ISNUMBER(IFERROR('Day 1 - 4. Black Box'!I15/8*100,"")),'REKAP TOTAL (Auto)'!F25,0)+IF(ISNUMBER(IFERROR('Day 1 - 6. Assignment'!L13/5*100,"")),'REKAP TOTAL (Auto)'!G25,0)+IF(ISNUMBER(IFERROR('Day 1 - 5. Panel Black Box'!L14/5*100,"")),'REKAP TOTAL (Auto)'!H25,0)+IF(ISNUMBER(IFERROR('Day 1 - 5. Peer Black Box'!L13/5*100,"")),'REKAP TOTAL (Auto)'!I25,0)+IF(ISNUMBER(IFERROR('Day 2- 2. Operation-Slides'!L15/5*100,"")),'REKAP TOTAL (Auto)'!N25,0)+IF(ISNUMBER(IFERROR('Day 3 - 2. Speed Coaching'!I13/8*100,"")),'REKAP TOTAL (Auto)'!P25,0)))</f>
        <v/>
      </c>
    </row>
    <row r="26" ht="27.75" customHeight="1">
      <c r="B26" s="71" t="inlineStr">
        <is>
          <t>Karsa Tumbuh – Growth Oriented</t>
        </is>
      </c>
      <c r="C26" s="126" t="n"/>
      <c r="D26" s="126" t="n"/>
      <c r="E26" s="126" t="n"/>
      <c r="F26" s="127" t="n">
        <v>15</v>
      </c>
      <c r="G26" s="126" t="n"/>
      <c r="H26" s="127" t="n">
        <v>30</v>
      </c>
      <c r="I26" s="127" t="n">
        <v>5</v>
      </c>
      <c r="J26" s="127" t="n">
        <v>20</v>
      </c>
      <c r="K26" s="126" t="n"/>
      <c r="L26" s="126" t="n"/>
      <c r="M26" s="127" t="n">
        <v>15</v>
      </c>
      <c r="N26" s="126" t="n"/>
      <c r="O26" s="126" t="n"/>
      <c r="P26" s="126" t="n"/>
      <c r="Q26" s="127" t="n">
        <v>15</v>
      </c>
      <c r="R26" s="126" t="n"/>
      <c r="S26" s="126" t="n"/>
      <c r="T26" s="128">
        <f>IF((IF(ISNUMBER(IFERROR('Day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(Auto)'!Q26,0))=0,"",(IFERROR('REKAP TOTAL (Auto)'!F26*('Day 1 - 4. Black Box'!I16/8*100),0)+IFERROR('REKAP TOTAL (Auto)'!H26*('Day 1 - 5. Panel Black Box'!L15/5*100),0)+IFERROR('REKAP TOTAL (Auto)'!I26*('Day 1 - 5. Peer Black Box'!L14/5*100),0)+IFERROR('REKAP TOTAL (Auto)'!J26*('Day 2- 2. Operation the organization Protect'!I17/8*100),0)+IFERROR('REKAP TOTAL (Auto)'!M26*('Day 2 - 5.Final Broadcast(Prep)'!I14/8*100),0)+IFERROR('REKAP TOTAL (Auto)'!Q26*('Day 3 - 3. Dominion'!I12/8*100),0))/(IF(ISNUMBER(IFERROR('Day 1 - 4. Black Box'!I16/8*100,"")),'REKAP TOTAL (Auto)'!F26,0)+IF(ISNUMBER(IFERROR('Day 1 - 5. Panel Black Box'!L15/5*100,"")),'REKAP TOTAL (Auto)'!H26,0)+IF(ISNUMBER(IFERROR('Day 1 - 5. Peer Black Box'!L14/5*100,"")),'REKAP TOTAL (Auto)'!I26,0)+IF(ISNUMBER(IFERROR('Day 2- 2. Operation the organization Protect'!I17/8*100,"")),'REKAP TOTAL (Auto)'!J26,0)+IF(ISNUMBER(IFERROR('Day 2 - 5.Final Broadcast(Prep)'!I14/8*100,"")),'REKAP TOTAL (Auto)'!M26,0)+IF(ISNUMBER(IFERROR('Day 3 - 3. Dominion'!I12/8*100,"")),'REKAP TOTAL (Auto)'!Q26,0)))</f>
        <v/>
      </c>
    </row>
    <row r="27" ht="27.75" customHeight="1">
      <c r="B27" s="71" t="inlineStr">
        <is>
          <t>Karsa Jaya – Excellence in Execution</t>
        </is>
      </c>
      <c r="C27" s="126" t="n"/>
      <c r="D27" s="126" t="n"/>
      <c r="E27" s="126" t="n"/>
      <c r="F27" s="127" t="n">
        <v>20</v>
      </c>
      <c r="G27" s="127" t="n">
        <v>15</v>
      </c>
      <c r="H27" s="126" t="n"/>
      <c r="I27" s="126" t="n"/>
      <c r="J27" s="127" t="n">
        <v>20</v>
      </c>
      <c r="K27" s="126" t="n"/>
      <c r="L27" s="126" t="n"/>
      <c r="M27" s="126" t="n"/>
      <c r="N27" s="127" t="n">
        <v>15</v>
      </c>
      <c r="O27" s="126" t="n"/>
      <c r="P27" s="126" t="n"/>
      <c r="Q27" s="127" t="n">
        <v>30</v>
      </c>
      <c r="R27" s="126" t="n"/>
      <c r="S27" s="126" t="n"/>
      <c r="T27" s="128">
        <f>IF((IF(ISNUMBER(IFERROR('Day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(Auto)'!Q27,0))=0,"",(IFERROR('REKAP TOTAL (Auto)'!F27*('Day 1 - 4. Black Box'!I17/8*100),0)+IFERROR('REKAP TOTAL (Auto)'!G27*('Day 1 - 6. Assignment'!L18/5*100),0)+IFERROR('REKAP TOTAL (Auto)'!J27*('Day 2- 2. Operation the organization Protect'!I13/8*100),0)+IFERROR('REKAP TOTAL (Auto)'!N27*('Day 2- 2. Operation-Slides'!L14/5*100),0)+IFERROR('REKAP TOTAL (Auto)'!Q27*('Day 3 - 3. Dominion'!I14/8*100),0))/(IF(ISNUMBER(IFERROR('Day 1 - 4. Black Box'!I17/8*100,"")),'REKAP TOTAL (Auto)'!F27,0)+IF(ISNUMBER(IFERROR('Day 1 - 6. Assignment'!L18/5*100,"")),'REKAP TOTAL (Auto)'!G27,0)+IF(ISNUMBER(IFERROR('Day 2- 2. Operation the organization Protect'!I13/8*100,"")),'REKAP TOTAL (Auto)'!J27,0)+IF(ISNUMBER(IFERROR('Day 2- 2. Operation-Slides'!L14/5*100,"")),'REKAP TOTAL (Auto)'!N27,0)+IF(ISNUMBER(IFERROR('Day 3 - 3. Dominion'!I14/8*100,"")),'REKAP TOTAL (Auto)'!Q27,0)))</f>
        <v/>
      </c>
    </row>
    <row r="28"/>
    <row r="29" ht="42" customHeight="1">
      <c r="B29" s="173" t="inlineStr">
        <is>
          <t>Skor Karsa = Σ(bobot% × nilai kegiatan) ÷ Σ(bobot kegiatan terisi). Kegiatan belum diisi otomatis dilewati &amp; bobot dibagi ke yang sudah terisi (renormalisasi global), sehingga Day1+Day2+Day3 selalu = TOTAL. Observasi ÷8×100, rubrik ÷5×100.</t>
        </is>
      </c>
    </row>
  </sheetData>
  <mergeCells count="15">
    <mergeCell ref="G7:K7"/>
    <mergeCell ref="O16:S16"/>
    <mergeCell ref="G12:K12"/>
    <mergeCell ref="B13:K13"/>
    <mergeCell ref="J16:N16"/>
    <mergeCell ref="G10:K10"/>
    <mergeCell ref="G11:K11"/>
    <mergeCell ref="B2:H2"/>
    <mergeCell ref="G5:K5"/>
    <mergeCell ref="C16:I16"/>
    <mergeCell ref="B29:T29"/>
    <mergeCell ref="G6:K6"/>
    <mergeCell ref="G8:K8"/>
    <mergeCell ref="G9:K9"/>
    <mergeCell ref="B15:T15"/>
  </mergeCells>
  <conditionalFormatting sqref="F6:F11">
    <cfRule type="colorScale" priority="3">
      <colorScale>
        <cfvo type="num" val="0"/>
        <cfvo type="num" val="50"/>
        <cfvo type="num" val="100"/>
        <color rgb="FFF8696B"/>
        <color rgb="FFFFEB84"/>
        <color rgb="FF63BE7B"/>
      </colorScale>
    </cfRule>
  </conditionalFormatting>
  <conditionalFormatting sqref="T18:T27">
    <cfRule type="colorScale" priority="2">
      <colorScale>
        <cfvo type="num" val="0"/>
        <cfvo type="num" val="50"/>
        <cfvo type="num" val="100"/>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Employee Assessment Observation Workbook - Redacted</dc:title>
  <dc:description xmlns:dc="http://purl.org/dc/elements/1.1/">Names and client identifiers removed for public review.</dc:description>
  <dc:subject xmlns:dc="http://purl.org/dc/elements/1.1/">Public portfolio preview</dc:subject>
  <dcterms:created xmlns:dcterms="http://purl.org/dc/terms/" xmlns:xsi="http://www.w3.org/2001/XMLSchema-instance" xsi:type="dcterms:W3CDTF">2026-05-23T14:34:20Z</dcterms:created>
  <dcterms:modified xmlns:dcterms="http://purl.org/dc/terms/" xmlns:xsi="http://www.w3.org/2001/XMLSchema-instance" xsi:type="dcterms:W3CDTF">2026-06-12T03:06:38Z</dcterms:modified>
  <cp:lastModifiedBy/>
  <cp:revision>0</cp:revision>
</cp:coreProperties>
</file>