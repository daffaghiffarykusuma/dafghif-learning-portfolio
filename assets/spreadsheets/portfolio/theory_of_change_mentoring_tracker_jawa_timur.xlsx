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cuments\Project Mas Dias\Program Mentoring\.codex-artifacts\019fc5ef-d3b1-70b2-a776-c845a6b8e693\"/>
    </mc:Choice>
  </mc:AlternateContent>
  <xr:revisionPtr revIDLastSave="0" documentId="8_{2ABFFC56-3152-411B-B4D9-4667ABD7C29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nduan" sheetId="1" r:id="rId1"/>
    <sheet name="Dashboard" sheetId="2" r:id="rId2"/>
    <sheet name="Tracker ToC" sheetId="3" r:id="rId3"/>
    <sheet name="Rantai ToC" sheetId="4" r:id="rId4"/>
    <sheet name="Data Sumber" sheetId="5" r:id="rId5"/>
    <sheet name="Blueprint Program" sheetId="6" r:id="rId6"/>
    <sheet name="Scorecard To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7" l="1"/>
  <c r="K46" i="7"/>
  <c r="K45" i="7"/>
  <c r="K44" i="7"/>
  <c r="K43" i="7"/>
  <c r="J43" i="7"/>
  <c r="H43" i="7"/>
  <c r="I43" i="7" s="1"/>
  <c r="K42" i="7"/>
  <c r="J42" i="7"/>
  <c r="H42" i="7"/>
  <c r="I42" i="7" s="1"/>
  <c r="K41" i="7"/>
  <c r="J41" i="7"/>
  <c r="H41" i="7"/>
  <c r="I41" i="7" s="1"/>
  <c r="K40" i="7"/>
  <c r="J40" i="7"/>
  <c r="H40" i="7"/>
  <c r="I40" i="7" s="1"/>
  <c r="K39" i="7"/>
  <c r="J39" i="7"/>
  <c r="H39" i="7"/>
  <c r="I39" i="7" s="1"/>
  <c r="K38" i="7"/>
  <c r="J38" i="7"/>
  <c r="H38" i="7"/>
  <c r="I38" i="7" s="1"/>
  <c r="K37" i="7"/>
  <c r="J37" i="7"/>
  <c r="H37" i="7"/>
  <c r="I37" i="7" s="1"/>
  <c r="K36" i="7"/>
  <c r="J36" i="7"/>
  <c r="H36" i="7"/>
  <c r="I36" i="7" s="1"/>
  <c r="K35" i="7"/>
  <c r="K34" i="7"/>
  <c r="J34" i="7"/>
  <c r="H34" i="7"/>
  <c r="I34" i="7" s="1"/>
  <c r="K33" i="7"/>
  <c r="J33" i="7"/>
  <c r="H33" i="7"/>
  <c r="I33" i="7" s="1"/>
  <c r="K32" i="7"/>
  <c r="J32" i="7"/>
  <c r="H32" i="7"/>
  <c r="I32" i="7" s="1"/>
  <c r="K31" i="7"/>
  <c r="J31" i="7"/>
  <c r="H31" i="7"/>
  <c r="I31" i="7" s="1"/>
  <c r="K30" i="7"/>
  <c r="J30" i="7"/>
  <c r="H30" i="7"/>
  <c r="I30" i="7" s="1"/>
  <c r="K29" i="7"/>
  <c r="J29" i="7"/>
  <c r="H29" i="7"/>
  <c r="I29" i="7" s="1"/>
  <c r="K28" i="7"/>
  <c r="J28" i="7"/>
  <c r="H28" i="7"/>
  <c r="I28" i="7" s="1"/>
  <c r="K27" i="7"/>
  <c r="J27" i="7"/>
  <c r="H27" i="7"/>
  <c r="I27" i="7" s="1"/>
  <c r="K26" i="7"/>
  <c r="J26" i="7"/>
  <c r="H26" i="7"/>
  <c r="I26" i="7" s="1"/>
  <c r="K25" i="7"/>
  <c r="J25" i="7"/>
  <c r="H25" i="7"/>
  <c r="I25" i="7" s="1"/>
  <c r="K24" i="7"/>
  <c r="K23" i="7"/>
  <c r="J23" i="7"/>
  <c r="H23" i="7"/>
  <c r="I23" i="7" s="1"/>
  <c r="K22" i="7"/>
  <c r="J22" i="7"/>
  <c r="H22" i="7"/>
  <c r="I22" i="7" s="1"/>
  <c r="K21" i="7"/>
  <c r="J21" i="7"/>
  <c r="H21" i="7"/>
  <c r="I21" i="7" s="1"/>
  <c r="K20" i="7"/>
  <c r="J20" i="7"/>
  <c r="H20" i="7"/>
  <c r="I20" i="7" s="1"/>
  <c r="K19" i="7"/>
  <c r="J19" i="7"/>
  <c r="H19" i="7"/>
  <c r="I19" i="7" s="1"/>
  <c r="K18" i="7"/>
  <c r="J18" i="7"/>
  <c r="H18" i="7"/>
  <c r="I18" i="7" s="1"/>
  <c r="K17" i="7"/>
  <c r="J17" i="7"/>
  <c r="H17" i="7"/>
  <c r="I17" i="7" s="1"/>
  <c r="K16" i="7"/>
  <c r="J16" i="7"/>
  <c r="H16" i="7"/>
  <c r="I16" i="7" s="1"/>
  <c r="K15" i="7"/>
  <c r="J15" i="7"/>
  <c r="H15" i="7"/>
  <c r="I15" i="7" s="1"/>
  <c r="K14" i="7"/>
  <c r="J14" i="7"/>
  <c r="H14" i="7"/>
  <c r="K13" i="7"/>
  <c r="K12" i="7"/>
  <c r="F9" i="7"/>
  <c r="V78" i="3"/>
  <c r="J47" i="7" s="1"/>
  <c r="M78" i="3"/>
  <c r="V77" i="3"/>
  <c r="J46" i="7" s="1"/>
  <c r="M77" i="3"/>
  <c r="V76" i="3"/>
  <c r="J45" i="7" s="1"/>
  <c r="M76" i="3"/>
  <c r="V75" i="3"/>
  <c r="M75" i="3"/>
  <c r="N75" i="3" s="1"/>
  <c r="V74" i="3"/>
  <c r="M74" i="3"/>
  <c r="N74" i="3" s="1"/>
  <c r="V73" i="3"/>
  <c r="J44" i="7" s="1"/>
  <c r="M73" i="3"/>
  <c r="V72" i="3"/>
  <c r="M72" i="3"/>
  <c r="N72" i="3" s="1"/>
  <c r="V71" i="3"/>
  <c r="M71" i="3"/>
  <c r="V70" i="3"/>
  <c r="M70" i="3"/>
  <c r="V69" i="3"/>
  <c r="M69" i="3"/>
  <c r="V68" i="3"/>
  <c r="M68" i="3"/>
  <c r="V67" i="3"/>
  <c r="M67" i="3"/>
  <c r="V66" i="3"/>
  <c r="M66" i="3"/>
  <c r="N66" i="3" s="1"/>
  <c r="V65" i="3"/>
  <c r="M65" i="3"/>
  <c r="N65" i="3" s="1"/>
  <c r="V64" i="3"/>
  <c r="J5" i="2" s="1"/>
  <c r="M64" i="3"/>
  <c r="V63" i="3"/>
  <c r="M63" i="3"/>
  <c r="N63" i="3" s="1"/>
  <c r="V62" i="3"/>
  <c r="M62" i="3"/>
  <c r="N62" i="3" s="1"/>
  <c r="V61" i="3"/>
  <c r="M61" i="3"/>
  <c r="N61" i="3" s="1"/>
  <c r="V60" i="3"/>
  <c r="M60" i="3"/>
  <c r="N60" i="3" s="1"/>
  <c r="V59" i="3"/>
  <c r="M59" i="3"/>
  <c r="N59" i="3" s="1"/>
  <c r="V58" i="3"/>
  <c r="J35" i="7" s="1"/>
  <c r="M58" i="3"/>
  <c r="V57" i="3"/>
  <c r="M57" i="3"/>
  <c r="N57" i="3" s="1"/>
  <c r="V56" i="3"/>
  <c r="M56" i="3"/>
  <c r="N56" i="3" s="1"/>
  <c r="V55" i="3"/>
  <c r="M55" i="3"/>
  <c r="N55" i="3" s="1"/>
  <c r="V54" i="3"/>
  <c r="M54" i="3"/>
  <c r="N54" i="3" s="1"/>
  <c r="V53" i="3"/>
  <c r="M53" i="3"/>
  <c r="N53" i="3" s="1"/>
  <c r="V52" i="3"/>
  <c r="M52" i="3"/>
  <c r="N52" i="3" s="1"/>
  <c r="V51" i="3"/>
  <c r="M51" i="3"/>
  <c r="N51" i="3" s="1"/>
  <c r="V50" i="3"/>
  <c r="M50" i="3"/>
  <c r="N50" i="3" s="1"/>
  <c r="V49" i="3"/>
  <c r="M49" i="3"/>
  <c r="N49" i="3" s="1"/>
  <c r="V48" i="3"/>
  <c r="M48" i="3"/>
  <c r="N48" i="3" s="1"/>
  <c r="V47" i="3"/>
  <c r="M47" i="3"/>
  <c r="N47" i="3" s="1"/>
  <c r="V46" i="3"/>
  <c r="M46" i="3"/>
  <c r="N46" i="3" s="1"/>
  <c r="V45" i="3"/>
  <c r="M45" i="3"/>
  <c r="N45" i="3" s="1"/>
  <c r="V44" i="3"/>
  <c r="M44" i="3"/>
  <c r="N44" i="3" s="1"/>
  <c r="V43" i="3"/>
  <c r="M43" i="3"/>
  <c r="N43" i="3" s="1"/>
  <c r="V42" i="3"/>
  <c r="M42" i="3"/>
  <c r="N42" i="3" s="1"/>
  <c r="V41" i="3"/>
  <c r="M41" i="3"/>
  <c r="N41" i="3" s="1"/>
  <c r="V40" i="3"/>
  <c r="M40" i="3"/>
  <c r="N40" i="3" s="1"/>
  <c r="V39" i="3"/>
  <c r="M39" i="3"/>
  <c r="N39" i="3" s="1"/>
  <c r="V38" i="3"/>
  <c r="M38" i="3"/>
  <c r="N38" i="3" s="1"/>
  <c r="V37" i="3"/>
  <c r="M37" i="3"/>
  <c r="N37" i="3" s="1"/>
  <c r="V36" i="3"/>
  <c r="J24" i="7" s="1"/>
  <c r="M36" i="3"/>
  <c r="V35" i="3"/>
  <c r="M35" i="3"/>
  <c r="N35" i="3" s="1"/>
  <c r="V34" i="3"/>
  <c r="M34" i="3"/>
  <c r="N34" i="3" s="1"/>
  <c r="V33" i="3"/>
  <c r="M33" i="3"/>
  <c r="N33" i="3" s="1"/>
  <c r="V32" i="3"/>
  <c r="M32" i="3"/>
  <c r="N32" i="3" s="1"/>
  <c r="V31" i="3"/>
  <c r="M31" i="3"/>
  <c r="N31" i="3" s="1"/>
  <c r="V30" i="3"/>
  <c r="M30" i="3"/>
  <c r="N30" i="3" s="1"/>
  <c r="V29" i="3"/>
  <c r="M29" i="3"/>
  <c r="N29" i="3" s="1"/>
  <c r="V28" i="3"/>
  <c r="M28" i="3"/>
  <c r="N28" i="3" s="1"/>
  <c r="V27" i="3"/>
  <c r="M27" i="3"/>
  <c r="N27" i="3" s="1"/>
  <c r="V26" i="3"/>
  <c r="M26" i="3"/>
  <c r="N26" i="3" s="1"/>
  <c r="V25" i="3"/>
  <c r="M25" i="3"/>
  <c r="N25" i="3" s="1"/>
  <c r="V24" i="3"/>
  <c r="M24" i="3"/>
  <c r="N24" i="3" s="1"/>
  <c r="V23" i="3"/>
  <c r="M23" i="3"/>
  <c r="N23" i="3" s="1"/>
  <c r="V22" i="3"/>
  <c r="M22" i="3"/>
  <c r="N22" i="3" s="1"/>
  <c r="V21" i="3"/>
  <c r="M21" i="3"/>
  <c r="N21" i="3" s="1"/>
  <c r="V20" i="3"/>
  <c r="M20" i="3"/>
  <c r="N20" i="3" s="1"/>
  <c r="V19" i="3"/>
  <c r="M19" i="3"/>
  <c r="N19" i="3" s="1"/>
  <c r="V18" i="3"/>
  <c r="M18" i="3"/>
  <c r="N18" i="3" s="1"/>
  <c r="V17" i="3"/>
  <c r="M17" i="3"/>
  <c r="N17" i="3" s="1"/>
  <c r="V16" i="3"/>
  <c r="M16" i="3"/>
  <c r="N16" i="3" s="1"/>
  <c r="V15" i="3"/>
  <c r="M15" i="3"/>
  <c r="N15" i="3" s="1"/>
  <c r="V14" i="3"/>
  <c r="M14" i="3"/>
  <c r="N14" i="3" s="1"/>
  <c r="V13" i="3"/>
  <c r="M13" i="3"/>
  <c r="N13" i="3" s="1"/>
  <c r="V12" i="3"/>
  <c r="M12" i="3"/>
  <c r="N12" i="3" s="1"/>
  <c r="V11" i="3"/>
  <c r="J13" i="7" s="1"/>
  <c r="M11" i="3"/>
  <c r="V10" i="3"/>
  <c r="J12" i="7" s="1"/>
  <c r="M10" i="3"/>
  <c r="V9" i="3"/>
  <c r="M9" i="3"/>
  <c r="N9" i="3" s="1"/>
  <c r="V8" i="3"/>
  <c r="M8" i="3"/>
  <c r="N8" i="3" s="1"/>
  <c r="E12" i="2"/>
  <c r="E11" i="2"/>
  <c r="E10" i="2"/>
  <c r="D5" i="2"/>
  <c r="A5" i="2"/>
  <c r="N76" i="3" l="1"/>
  <c r="H45" i="7"/>
  <c r="I45" i="7" s="1"/>
  <c r="N73" i="3"/>
  <c r="H44" i="7"/>
  <c r="I44" i="7" s="1"/>
  <c r="N64" i="3"/>
  <c r="G5" i="2"/>
  <c r="N58" i="3"/>
  <c r="H35" i="7"/>
  <c r="N36" i="3"/>
  <c r="H24" i="7"/>
  <c r="I24" i="7" s="1"/>
  <c r="N11" i="3"/>
  <c r="H13" i="7"/>
  <c r="I13" i="7" s="1"/>
  <c r="I14" i="7"/>
  <c r="F8" i="7"/>
  <c r="F7" i="7"/>
  <c r="N78" i="3"/>
  <c r="H47" i="7"/>
  <c r="I47" i="7" s="1"/>
  <c r="H46" i="7"/>
  <c r="N77" i="3"/>
  <c r="B18" i="2"/>
  <c r="N71" i="3"/>
  <c r="B17" i="2"/>
  <c r="N70" i="3"/>
  <c r="B13" i="2" s="1"/>
  <c r="B16" i="2"/>
  <c r="N69" i="3"/>
  <c r="N68" i="3"/>
  <c r="B20" i="2"/>
  <c r="B19" i="2"/>
  <c r="N67" i="3"/>
  <c r="N10" i="3"/>
  <c r="H12" i="7"/>
  <c r="B10" i="2"/>
  <c r="B11" i="2"/>
  <c r="B12" i="2"/>
  <c r="I35" i="7" l="1"/>
  <c r="B9" i="7"/>
  <c r="C9" i="7" s="1"/>
  <c r="I12" i="7"/>
  <c r="B7" i="7"/>
  <c r="C7" i="7" s="1"/>
  <c r="I46" i="7"/>
  <c r="B8" i="7"/>
  <c r="C8" i="7" s="1"/>
</calcChain>
</file>

<file path=xl/sharedStrings.xml><?xml version="1.0" encoding="utf-8"?>
<sst xmlns="http://schemas.openxmlformats.org/spreadsheetml/2006/main" count="2201" uniqueCount="750">
  <si>
    <t>PANDUAN PENGGUNAAN MENTORING TRACKER</t>
  </si>
  <si>
    <t>Gunakan Dashboard untuk ringkasan, Scorecard ToC untuk capaian Output–Outcome–Impact, Tracker ToC untuk pembaruan indikator, Rantai ToC untuk logika perubahan, Blueprint Program untuk katalog target client, dan Data Sumber untuk audit.</t>
  </si>
  <si>
    <t>1. Aturan Data</t>
  </si>
  <si>
    <t>Aturan</t>
  </si>
  <si>
    <t>Penjelasan</t>
  </si>
  <si>
    <t>Langkah</t>
  </si>
  <si>
    <t>Pertanyaan Mentor</t>
  </si>
  <si>
    <t>Bukti Minimum</t>
  </si>
  <si>
    <t>Keputusan</t>
  </si>
  <si>
    <t>Pemilik</t>
  </si>
  <si>
    <t>Data laporan</t>
  </si>
  <si>
    <t>Angka yang terbaca langsung dari Laporan Change Report, Process, Blueprint. Sumber realisasi = Laporan.</t>
  </si>
  <si>
    <t>1. Validasi Input</t>
  </si>
  <si>
    <t>Apakah sumber daya benar-benar tersedia?</t>
  </si>
  <si>
    <t>Pagu, realisasi, daftar personel</t>
  </si>
  <si>
    <t>Lanjut/eskalasi hambatan</t>
  </si>
  <si>
    <t>PIC Program</t>
  </si>
  <si>
    <t>Turunan laporan</t>
  </si>
  <si>
    <t>Angka yang diturunkan secara transparan dari konteks laporan, bukan angka eksplisit pada kalimat indikator.</t>
  </si>
  <si>
    <t>2. Cek Activity</t>
  </si>
  <si>
    <t>Apakah kegiatan terlaksana sesuai desain?</t>
  </si>
  <si>
    <t>Jadwal, daftar hadir, dokumentasi</t>
  </si>
  <si>
    <t>Perbaiki cakupan/kualitas</t>
  </si>
  <si>
    <t>PIC Kegiatan</t>
  </si>
  <si>
    <t>Data dummy</t>
  </si>
  <si>
    <t>Nilai sementara untuk baseline, target, atau metrik baru yang belum ada. Sel angkanya diberi warna merah muda.</t>
  </si>
  <si>
    <t>3. Verifikasi Output</t>
  </si>
  <si>
    <t>Apa yang benar-benar dihasilkan dan siapa yang dijangkau?</t>
  </si>
  <si>
    <t>Rekap lokasi, peserta, media</t>
  </si>
  <si>
    <t>Rekonsiliasi angka</t>
  </si>
  <si>
    <t>Admin Data</t>
  </si>
  <si>
    <t>Ganti data dummy</t>
  </si>
  <si>
    <t>Tim program wajib mengganti sel merah muda setelah bukti tersedia dan mengubah kolom sumber menjadi Laporan/Turunan.</t>
  </si>
  <si>
    <t>4. Uji Outcome</t>
  </si>
  <si>
    <t>Apakah pengetahuan/perilaku berubah?</t>
  </si>
  <si>
    <t>Pre/post-test, survei, hasil inspeksi</t>
  </si>
  <si>
    <t>Pertahankan/adaptasi intervensi</t>
  </si>
  <si>
    <t>M&amp;E</t>
  </si>
  <si>
    <t>Jangan menafsirkan dummy sebagai hasil</t>
  </si>
  <si>
    <t>Dashboard mencampurkan data sumber dan dummy; gunakan filter Kualitas Data sebelum mengambil keputusan eksternal.</t>
  </si>
  <si>
    <t>5. Tinjau Impact</t>
  </si>
  <si>
    <t>Apakah hasil jangka panjang membaik dan apa kontribusi program?</t>
  </si>
  <si>
    <t>Data insiden, tren, pembanding</t>
  </si>
  <si>
    <t>Lanjutkan, ubah, atau hentikan</t>
  </si>
  <si>
    <t>Pimpinan Program</t>
  </si>
  <si>
    <t>3. Definisi Status</t>
  </si>
  <si>
    <t>Status</t>
  </si>
  <si>
    <t>Definisi</t>
  </si>
  <si>
    <t>• Laporan sumber berfokus pada aktivitas/output; baseline, target numerik, Outcome, dan Impact umumnya belum tersedia.</t>
  </si>
  <si>
    <t>Tercapai</t>
  </si>
  <si>
    <t>Capaian ≥ 100%</t>
  </si>
  <si>
    <t>• Nilai X pada A7 belum diisi; tracker memakai dummy agar formula dan alur monitoring dapat diuji.</t>
  </si>
  <si>
    <t>In Progress</t>
  </si>
  <si>
    <t>Capaian 80%–99,9%</t>
  </si>
  <si>
    <t>• Keterangan 'semua loket' pada A4 diturunkan menjadi 8 loket berdasarkan cakupan keluaran lain dan harus dikonfirmasi.</t>
  </si>
  <si>
    <t>Perlu Perhatian</t>
  </si>
  <si>
    <t>Capaian &lt; 80%</t>
  </si>
  <si>
    <t>• Persentase capaian tidak membuktikan kausalitas. Impact perlu data pembanding dan evaluasi kontribusi.</t>
  </si>
  <si>
    <t>Belum Ada Data</t>
  </si>
  <si>
    <t>Realisasi belum tersedia atau belum jatuh tempo</t>
  </si>
  <si>
    <t>• Workbook dibuat dalam Bahasa Indonesia untuk rapat mentoring internal dan belum menjadi laporan publik.</t>
  </si>
  <si>
    <t>Ringkasan Juni 2026 | 12 program | Target Output/Outcome: Key Activity Breakdown | Target Impact: Strategic Alignment | Data dummy ditandai merah muda.</t>
  </si>
  <si>
    <t>Program</t>
  </si>
  <si>
    <t>Indikator</t>
  </si>
  <si>
    <t>Rata-rata Capaian</t>
  </si>
  <si>
    <t>Mengandung Dummy</t>
  </si>
  <si>
    <t>Status Indikator</t>
  </si>
  <si>
    <t>Kualitas Realisasi</t>
  </si>
  <si>
    <t>Jumlah</t>
  </si>
  <si>
    <t>Sumber Realisasi</t>
  </si>
  <si>
    <t>Laporan</t>
  </si>
  <si>
    <t>Turunan</t>
  </si>
  <si>
    <t>Dummy</t>
  </si>
  <si>
    <t>Tingkat ToC</t>
  </si>
  <si>
    <t>Input</t>
  </si>
  <si>
    <t>Activity</t>
  </si>
  <si>
    <t>Output</t>
  </si>
  <si>
    <t>Outcome</t>
  </si>
  <si>
    <t>Impact</t>
  </si>
  <si>
    <t>Prioritas Mentoring</t>
  </si>
  <si>
    <t>1</t>
  </si>
  <si>
    <t>Ganti seluruh sel merah muda dengan data yang terverifikasi.</t>
  </si>
  <si>
    <t>2</t>
  </si>
  <si>
    <t>Tetapkan target numerik berbasis baseline dan kapasitas program.</t>
  </si>
  <si>
    <t>3</t>
  </si>
  <si>
    <t>Mulai pre/post-test untuk A3, A4, A5, dan penilaian simulasi untuk A6.</t>
  </si>
  <si>
    <t>4</t>
  </si>
  <si>
    <t>Buat register tindak lanjut kolaborasi untuk A7.</t>
  </si>
  <si>
    <t>MENTORING TRACKER – THEORY OF CHANGE</t>
  </si>
  <si>
    <t>Periode laporan: Juni 2026 | Sel merah muda = data dummy yang wajib diganti | Persentase capaian dihitung dari Realisasi ÷ Target.</t>
  </si>
  <si>
    <t>Filter berdasarkan program, tingkat ToC, status, atau kualitas data. Outcome dan Impact disarankan divalidasi melalui survei/administrative data.</t>
  </si>
  <si>
    <t>ID</t>
  </si>
  <si>
    <t>Periode</t>
  </si>
  <si>
    <t>Kode</t>
  </si>
  <si>
    <t>Pernyataan Hasil/Kegiatan</t>
  </si>
  <si>
    <t>Definisi Operasional</t>
  </si>
  <si>
    <t>Baseline</t>
  </si>
  <si>
    <t>Target</t>
  </si>
  <si>
    <t>Realisasi</t>
  </si>
  <si>
    <t>Satuan</t>
  </si>
  <si>
    <t>% Capaian</t>
  </si>
  <si>
    <t>Bukti/Sumber</t>
  </si>
  <si>
    <t>Frekuensi</t>
  </si>
  <si>
    <t>PIC</t>
  </si>
  <si>
    <t>Tindak Lanjut Mentoring</t>
  </si>
  <si>
    <t>Sumber Baseline</t>
  </si>
  <si>
    <t>Sumber Target</t>
  </si>
  <si>
    <t>Kualitas Data</t>
  </si>
  <si>
    <t>Catatan</t>
  </si>
  <si>
    <t>Hipotesis perubahan: Input → Activity → Output → Outcome → Impact. Output/Outcome mengikuti Key Activity Breakdown; Impact mengikuti Strategic Alignment melalui pemetaan kerja yang dapat diaudit.</t>
  </si>
  <si>
    <t>Asumsi Kunci / Faktor Eksternal</t>
  </si>
  <si>
    <t>A3</t>
  </si>
  <si>
    <t>Road Safety Education Program</t>
  </si>
  <si>
    <t>Anggaran, fasilitator/PPKL, materi edukasi, spanduk, akses sekolah</t>
  </si>
  <si>
    <t>Edukasi/sosialisasi di sekolah; PPKL; pemasangan spanduk</t>
  </si>
  <si>
    <t>Program edukasi di sekolah dan program edukasi bagi pengajar.</t>
  </si>
  <si>
    <t>20% sekolah di Jawa Timur mendapatkan edukasi dan pengajar menjadi agen keselamatan di lingkungan keluarga dan sekolah/kampus.
Cara ukur: Dokumentasi kegiatan; Laporan Andalan.</t>
  </si>
  <si>
    <t>Implementasi Penanganan Titik Rawan Laka 100% terintervensi (Data &amp; Digital)</t>
  </si>
  <si>
    <t>KBI strategis: Menggunakan data kecelakaan sebagai dasar identifikasi dan prioritas intervensi
Alignment: Intervensi keselamatan berbasis data
Sumber: Key Activity Breakdown 5.jpeg; Strategic Alignment 2.jpeg. Pemetaan impact perlu konfirmasi klien.</t>
  </si>
  <si>
    <t>A4</t>
  </si>
  <si>
    <t>Transport Driver Safety Program</t>
  </si>
  <si>
    <t>Anggaran, petugas, alat ramp check, stiker, instruktur, dukungan loket</t>
  </si>
  <si>
    <t>Operasi gabungan/ramp check; kampanye; PPGD; MUKL; diklat</t>
  </si>
  <si>
    <t>Pelatihan keselamatan bagi pengemudi angkutan umum dan kendaraan berat; Operasi Gabungan &amp; Sosialisasi ODOL; kampanye keselamatan kepada mobil pengangkut barang (truck); MUKL.</t>
  </si>
  <si>
    <t>Pengemudi memahami batas kecepatan, muatan, dan aturan lalu lintas.
Cara ukur: Laporan Andalan; dokumentasi kegiatan.</t>
  </si>
  <si>
    <t>Kecepatan Kepastian Jaminan Wilayah/Cabang (Pelayanan Publik)</t>
  </si>
  <si>
    <t>KBI strategis: Respons cepat dan koordinasi efektif antar unit dalam proses penjaminan korban laka
Alignment: Meningkatkan kualitas dan kecepatan pelayanan publik
Sumber: Key Activity Breakdown 5.jpeg; Strategic Alignment 2.jpeg. Pemetaan impact perlu konfirmasi klien.</t>
  </si>
  <si>
    <t>A5</t>
  </si>
  <si>
    <t>Passenger &amp; Public Awareness Campaign</t>
  </si>
  <si>
    <t>Anggaran, media kampanye, trainer, kanal WA/Instagram, akses terminal/PO</t>
  </si>
  <si>
    <t>Pemasangan stiker; glorifikasi pesan; kampanye; diklat</t>
  </si>
  <si>
    <t>Kampanye keselamatan di terminal dan perusahaan otobus; glorifikasi keselamatan melalui media sosial, event, dan publikasi.</t>
  </si>
  <si>
    <t>Masyarakat lebih peduli dan sadar terhadap keselamatan berkendara dan sebagai penumpang transportasi umum.
Cara ukur: Dokumentasi kegiatan; survei.</t>
  </si>
  <si>
    <t>Efektivitas Pelaksanaan Forum Keselamatan Lalu Lintas 100% terlaksana (Kolaborasi Ekosistem)</t>
  </si>
  <si>
    <t>KBI strategis: Proaktif membangun koordinasi lintas instansi serta memastikan tindak lanjut hasil forum
Alignment: Memperkuat kolaborasi ekosistem keselamatan
Sumber: Key Activity Breakdown 4.jpeg; Strategic Alignment 2.jpeg. Pemetaan impact perlu konfirmasi klien.</t>
  </si>
  <si>
    <t>A6</t>
  </si>
  <si>
    <t>Community &amp; Village Road Safety Moment</t>
  </si>
  <si>
    <t>Anggaran, petugas, souvenir/pesan keselamatan, spanduk, trainer PPGD</t>
  </si>
  <si>
    <t>Kampanye saat survei korban; sosialisasi desa; PPGD</t>
  </si>
  <si>
    <t>Kampanye keselamatan di komunitas; safety talk komunitas &amp; ahli waris; pemetaan desa dengan korban kecelakaan tertinggi; sosialisasi keselamatan bagi perangkat desa.</t>
  </si>
  <si>
    <t>Perangkat desa aktif menyampaikan pesan keselamatan kepada masyarakat desa; masyarakat paham dan aktif menyuarakan keselamatan lalu lintas.
Cara ukur: Dokumentasi kegiatan &amp; laporan pelaksanaan; jumlah komunitas terlibat.</t>
  </si>
  <si>
    <t>KBI strategis: Respons cepat dan koordinasi efektif antar unit dalam proses penjaminan korban laka
Alignment: Meningkatkan kualitas dan kecepatan pelayanan publik
Sumber: Key Activity Breakdown 4.jpeg; Strategic Alignment 2.jpeg. Pemetaan impact perlu konfirmasi klien.</t>
  </si>
  <si>
    <t>A7</t>
  </si>
  <si>
    <t>Stakeholder Collaborative Action</t>
  </si>
  <si>
    <t>Anggaran, jejaring RS/BPJS/mitra, forum, staf koordinasi</t>
  </si>
  <si>
    <t>Sharing and Caring; aksi simpatik; FKLLJ/FLLAJ</t>
  </si>
  <si>
    <t>Sharing &amp; Caring RS; Forum Lalu Lintas Angkutan Jalan (FLLAJ); aksi simpatik.</t>
  </si>
  <si>
    <t>Intervensi setiap stakeholder tepat sasaran di masyarakat; masyarakat patuh dan sadar berkendara.
Cara ukur: Dokumentasi kegiatan; notulensi.</t>
  </si>
  <si>
    <t>KBI strategis: Proaktif membangun koordinasi lintas instansi serta memastikan tindak lanjut hasil forum
Alignment: Memperkuat kolaborasi ekosistem keselamatan
Sumber: Key Activity Breakdown 3.jpeg; Strategic Alignment 2.jpeg. Pemetaan impact perlu konfirmasi klien.</t>
  </si>
  <si>
    <t>A1</t>
  </si>
  <si>
    <t>Road Safety Baseline Study &amp; Data Mapping</t>
  </si>
  <si>
    <t>Data kecelakaan/santunan, analis, dan forum penyamaan persepsi</t>
  </si>
  <si>
    <t>Studi baseline dan pemetaan data keselamatan jalan</t>
  </si>
  <si>
    <t>Road safety insight report; data korban kecelakaan dan santunan; faktor penyebab kecelakaan.</t>
  </si>
  <si>
    <t>KBI strategis: Menggunakan data kecelakaan sebagai dasar identifikasi dan prioritas intervensi
Alignment: Intervensi keselamatan berbasis data
Sumber: Key Activity Breakdown 6.jpeg; Strategic Alignment 2.jpeg. Pemetaan impact perlu konfirmasi klien.</t>
  </si>
  <si>
    <t>A2</t>
  </si>
  <si>
    <t>Blackspot Intervention Program</t>
  </si>
  <si>
    <t>Peta blackspot, data baseline, petugas pelayanan, dan dukungan stakeholder</t>
  </si>
  <si>
    <t>Perancangan dan pelaksanaan intervensi titik rawan</t>
  </si>
  <si>
    <t>Rekomendasi kegiatan atau intervensi berdasarkan pemetaan, seperti rambu, edukasi, dan intervensi relevan lainnya.</t>
  </si>
  <si>
    <t>Stakeholder melakukan intervensi pada titik rawan dan koordinasi lintas lembaga meningkat.
Cara ukur: Laporan Andalan; monthly report Bidang Pelayanan.</t>
  </si>
  <si>
    <t>A8</t>
  </si>
  <si>
    <t>Monitoring, Review &amp; Impact Evaluation</t>
  </si>
  <si>
    <t>Data monitoring, tim evaluasi, forum review, dan dukungan pimpinan</t>
  </si>
  <si>
    <t>Monitoring, review, dan evaluasi dampak berkala</t>
  </si>
  <si>
    <t>Organisasi menggunakan data untuk meningkatkan program kesamsatan.
Cara ukur: Dokumentasi kegiatan; laporan evaluasi.</t>
  </si>
  <si>
    <t>Anev Pelayanan Luar Biasa 100% (Agility &amp; Learning)</t>
  </si>
  <si>
    <t>KBI strategis: Melakukan evaluasi rutin berbasis data serta terbuka terhadap perbaikan layanan
Alignment: Mendorong perbaikan layanan berkelanjutan
Sumber: Key Activity Breakdown 3.jpeg; Strategic Alignment 2.jpeg. Pemetaan impact perlu konfirmasi klien.</t>
  </si>
  <si>
    <t>A9</t>
  </si>
  <si>
    <t>Personal Growth &amp; Digital Skills</t>
  </si>
  <si>
    <t>Change Catalyst, dukungan HC, kontributor cabang, dan perangkat digital</t>
  </si>
  <si>
    <t>Sesi personal growth, digital skills, dan content creation</t>
  </si>
  <si>
    <t>Ide dan draft content creation.</t>
  </si>
  <si>
    <t>Ide atau praktik kerja dibagikan dan mulai dicoba atau diadaptasi oleh unit lain; peningkatan skill pegawai terdokumentasi.
Cara ukur: Beberapa unit mencoba praktik design dari NEXTalk; laporan/dokumentasi peningkatan skill pegawai.</t>
  </si>
  <si>
    <t>GAP Kompetensi Pegawai Organik &lt;30% (Learning &amp; Growth)</t>
  </si>
  <si>
    <t>KBI strategis: Menggunakan data sebagai dasar keputusan
Alignment: Penutupan gap kompetensi berbasis praktik nyata
Sumber: Key Activity Breakdown 1.jpeg; Strategic Alignment 1.jpeg. Pemetaan impact perlu konfirmasi klien.</t>
  </si>
  <si>
    <t>A10</t>
  </si>
  <si>
    <t>Leadership &amp; Collaboration</t>
  </si>
  <si>
    <t>Change Catalyst, dukungan HC, pimpinan, dan calon speaker internal</t>
  </si>
  <si>
    <t>Sharing leadership, komunikasi, dan kolaborasi melalui NEXTalk</t>
  </si>
  <si>
    <t>Materi sharing session dan implementasi leadership pegawai.</t>
  </si>
  <si>
    <t>Pegawai mulai melihat dirinya sebagai bagian dari learning community dan bersedia menjadi kontributor pembelajaran.
Cara ukur: ≥70% pegawai mengikuti tiap sesi NEXTalk; minimal 9 calon speaker internal teridentifikasi.</t>
  </si>
  <si>
    <t>JR Next Leader menjadi narasumber minimal 1x dalam periode Jan–Nov (Internal Process)</t>
  </si>
  <si>
    <t>KBI strategis: Berbagi pengetahuan lintas unit
Alignment: Penguatan leadership pipeline &amp; internal knowledge capital
Sumber: Key Activity Breakdown 2.jpeg; Strategic Alignment 1.jpeg. Pemetaan impact perlu konfirmasi klien.</t>
  </si>
  <si>
    <t>A11</t>
  </si>
  <si>
    <t>Wellbeing &amp; Work-Life Balance</t>
  </si>
  <si>
    <t>Fasilitator, dukungan HC, materi kesehatan, dan kanal komunikasi</t>
  </si>
  <si>
    <t>Sesi wellbeing dan work-life balance</t>
  </si>
  <si>
    <t>Work-life balance toolkit dan healthy lifestyle guide.</t>
  </si>
  <si>
    <t>Pegawai lebih memperhatikan keseimbangan kerja dan kehidupan pribadi serta pola hidup sehat.
Cara ukur: ≥60% peserta menyatakan materi bermanfaat; survei menunjukkan peningkatan awareness healthy lifestyle.</t>
  </si>
  <si>
    <t>≥70% pegawai mengikuti sesi tiap bulan (Public Value)</t>
  </si>
  <si>
    <t>KBI strategis: Membangun hubungan berbasis kepercayaan
Alignment: Mendukung transformasi &amp; operational excellence
Sumber: Key Activity Breakdown 2.jpeg; Strategic Alignment 1.jpeg. Pemetaan impact perlu konfirmasi klien.</t>
  </si>
  <si>
    <t>A12</t>
  </si>
  <si>
    <t>Inspiring Champion Award</t>
  </si>
  <si>
    <t>Kriteria penghargaan, proses nominasi, penilai, dan dokumentasi kontribusi</t>
  </si>
  <si>
    <t>Seleksi dan pemberian Inspiring Champion Award</t>
  </si>
  <si>
    <t>Penerima penghargaan Inspiring Champion berdasarkan kriteria penilaian.</t>
  </si>
  <si>
    <t>Meningkatnya motivasi pegawai untuk berpartisipasi sebagai narasumber maupun kontributor.
Cara ukur: ≥70% peserta menyatakan kegiatan NEXTalk memberikan inspirasi atau pengetahuan baru.</t>
  </si>
  <si>
    <t>Peningkatan Kompetensi Pegawai (IDP)</t>
  </si>
  <si>
    <t>KBI strategis: Adaptif terhadap sistem dan timeline
Alignment: Menguatkan pemahaman aplikatif
Sumber: Key Activity Breakdown 1.jpeg; Strategic Alignment 1.jpeg. Pemetaan impact perlu konfirmasi klien.</t>
  </si>
  <si>
    <t>DATA SUMBER – LAPORAN AKTIVITAS &amp; TARGET PROGRAM</t>
  </si>
  <si>
    <t>Transkripsi ringkas untuk audit dari Activity 1–3.jpeg, Key Activity Breakdown 1–6.jpeg, dan Strategic Alignment 1–2.jpeg. Nilai dummy tetap ditandai pada Tracker ToC dan Scorecard ToC.</t>
  </si>
  <si>
    <t>No.</t>
  </si>
  <si>
    <t>Berkas</t>
  </si>
  <si>
    <t>Kategori</t>
  </si>
  <si>
    <t>Pernyataan Sumber (ringkas)</t>
  </si>
  <si>
    <t>Nilai</t>
  </si>
  <si>
    <t>Activity 1.jpeg</t>
  </si>
  <si>
    <t>Kegiatan PPKL dan pemasangan spanduk di sekolah pada Juni 2026</t>
  </si>
  <si>
    <t>kegiatan</t>
  </si>
  <si>
    <t>Kegiatan PPKL kumulatif s.d. Juni 2026</t>
  </si>
  <si>
    <t>Himbauan keselamatan kumulatif s.d. Juni 2026</t>
  </si>
  <si>
    <t>himbauan</t>
  </si>
  <si>
    <t>Operasi gabungan/ramp check dilaksanakan oleh semua loket</t>
  </si>
  <si>
    <t>loket</t>
  </si>
  <si>
    <t>Jumlah loket tidak dinyatakan pada kalimat ini</t>
  </si>
  <si>
    <t>Giat pemasangan stiker pada Juni</t>
  </si>
  <si>
    <t>Stiker keselamatan pada mobil penumpang umum</t>
  </si>
  <si>
    <t>stiker</t>
  </si>
  <si>
    <t>Kegiatan PPGD oleh 8 loket</t>
  </si>
  <si>
    <t>Cakupan 8 loket</t>
  </si>
  <si>
    <t>Kegiatan MUKL oleh 8 loket</t>
  </si>
  <si>
    <t>Diklat Pengemudi dan Awak bersama KNKT</t>
  </si>
  <si>
    <t>Peserta diklat pengemudi dan awak</t>
  </si>
  <si>
    <t>peserta</t>
  </si>
  <si>
    <t>Activity 2.jpeg</t>
  </si>
  <si>
    <t>Lokasi pemasangan stiker</t>
  </si>
  <si>
    <t>lokasi</t>
  </si>
  <si>
    <t>Sebanyak 33 stiker</t>
  </si>
  <si>
    <t>Diklat Pengemudi dan Awak Angkutan Umum</t>
  </si>
  <si>
    <t>Diikuti 60 peserta</t>
  </si>
  <si>
    <t>Kampanye disampaikan pada setiap survei korban/ahli waris</t>
  </si>
  <si>
    <t>sesi</t>
  </si>
  <si>
    <t>Jumlah survei tidak dicantumkan</t>
  </si>
  <si>
    <t>Spanduk terpasang di beberapa kelurahan</t>
  </si>
  <si>
    <t>wilayah</t>
  </si>
  <si>
    <t>Jumlah wilayah tidak dicantumkan</t>
  </si>
  <si>
    <t>Kegiatan PPGD di 8 loket</t>
  </si>
  <si>
    <t>Activity 3.jpeg</t>
  </si>
  <si>
    <t>Loket melakukan Sharing and Caring bersama rumah sakit</t>
  </si>
  <si>
    <t>X</t>
  </si>
  <si>
    <t>Nilai belum tersedia pada laporan</t>
  </si>
  <si>
    <t>Loket melakukan aksi simpatik bersama mitra kerja</t>
  </si>
  <si>
    <t>Kegiatan FLLAJ pada Juni oleh 8 loket</t>
  </si>
  <si>
    <t>Key Activity Breakdown 6.jpeg; Strategic Alignment 2.jpeg</t>
  </si>
  <si>
    <t>Target Client</t>
  </si>
  <si>
    <t>program</t>
  </si>
  <si>
    <t>Cara ukur outcome: Laporan Bidang Pelayanan; Dashboard CERI.
KBI strategis: Menggunakan data kecelakaan sebagai dasar identifikasi dan prioritas intervensi
Alignment: Intervensi keselamatan berbasis data</t>
  </si>
  <si>
    <t>Output: Rekomendasi kegiatan atau intervensi berdasarkan pemetaan, seperti rambu, edukasi, dan intervensi relevan lainnya.
Outcome: Stakeholder melakukan intervensi pada titik rawan dan koordinasi lintas lembaga meningkat.
Impact: Implementasi Penanganan Titik Rawan Laka 100% terintervensi (Data &amp; Digital)</t>
  </si>
  <si>
    <t>Cara ukur outcome: Laporan Andalan; monthly report Bidang Pelayanan.
KBI strategis: Menggunakan data kecelakaan sebagai dasar identifikasi dan prioritas intervensi
Alignment: Intervensi keselamatan berbasis data</t>
  </si>
  <si>
    <t>Key Activity Breakdown 5.jpeg; Strategic Alignment 2.jpeg</t>
  </si>
  <si>
    <t>Output: Program edukasi di sekolah dan program edukasi bagi pengajar.
Outcome: 20% sekolah di Jawa Timur mendapatkan edukasi dan pengajar menjadi agen keselamatan di lingkungan keluarga dan sekolah/kampus.
Impact: Implementasi Penanganan Titik Rawan Laka 100% terintervensi (Data &amp; Digital)</t>
  </si>
  <si>
    <t>Cara ukur outcome: Dokumentasi kegiatan; Laporan Andalan.
KBI strategis: Menggunakan data kecelakaan sebagai dasar identifikasi dan prioritas intervensi
Alignment: Intervensi keselamatan berbasis data</t>
  </si>
  <si>
    <t>Output: Pelatihan keselamatan bagi pengemudi angkutan umum dan kendaraan berat; Operasi Gabungan &amp; Sosialisasi ODOL; kampanye keselamatan kepada mobil pengangkut barang (truck); MUKL.
Outcome: Pengemudi memahami batas kecepatan, muatan, dan aturan lalu lintas.
Impact: Kecepatan Kepastian Jaminan Wilayah/Cabang (Pelayanan Publik)</t>
  </si>
  <si>
    <t>Cara ukur outcome: Laporan Andalan; dokumentasi kegiatan.
KBI strategis: Respons cepat dan koordinasi efektif antar unit dalam proses penjaminan korban laka
Alignment: Meningkatkan kualitas dan kecepatan pelayanan publik</t>
  </si>
  <si>
    <t>Key Activity Breakdown 4.jpeg; Strategic Alignment 2.jpeg</t>
  </si>
  <si>
    <t>Output: Kampanye keselamatan di terminal dan perusahaan otobus; glorifikasi keselamatan melalui media sosial, event, dan publikasi.
Outcome: Masyarakat lebih peduli dan sadar terhadap keselamatan berkendara dan sebagai penumpang transportasi umum.
Impact: Efektivitas Pelaksanaan Forum Keselamatan Lalu Lintas 100% terlaksana (Kolaborasi Ekosistem)</t>
  </si>
  <si>
    <t>Cara ukur outcome: Dokumentasi kegiatan; survei.
KBI strategis: Proaktif membangun koordinasi lintas instansi serta memastikan tindak lanjut hasil forum
Alignment: Memperkuat kolaborasi ekosistem keselamatan</t>
  </si>
  <si>
    <t>Output: Kampanye keselamatan di komunitas; safety talk komunitas &amp; ahli waris; pemetaan desa dengan korban kecelakaan tertinggi; sosialisasi keselamatan bagi perangkat desa.
Outcome: Perangkat desa aktif menyampaikan pesan keselamatan kepada masyarakat desa; masyarakat paham dan aktif menyuarakan keselamatan lalu lintas.
Impact: Kecepatan Kepastian Jaminan Wilayah/Cabang (Pelayanan Publik)</t>
  </si>
  <si>
    <t>Cara ukur outcome: Dokumentasi kegiatan &amp; laporan pelaksanaan; jumlah komunitas terlibat.
KBI strategis: Respons cepat dan koordinasi efektif antar unit dalam proses penjaminan korban laka
Alignment: Meningkatkan kualitas dan kecepatan pelayanan publik</t>
  </si>
  <si>
    <t>Key Activity Breakdown 3.jpeg; Strategic Alignment 2.jpeg</t>
  </si>
  <si>
    <t>Output: Sharing &amp; Caring RS; Forum Lalu Lintas Angkutan Jalan (FLLAJ); aksi simpatik.
Outcome: Intervensi setiap stakeholder tepat sasaran di masyarakat; masyarakat patuh dan sadar berkendara.
Impact: Efektivitas Pelaksanaan Forum Keselamatan Lalu Lintas 100% terlaksana (Kolaborasi Ekosistem)</t>
  </si>
  <si>
    <t>Cara ukur outcome: Dokumentasi kegiatan; notulensi.
KBI strategis: Proaktif membangun koordinasi lintas instansi serta memastikan tindak lanjut hasil forum
Alignment: Memperkuat kolaborasi ekosistem keselamatan</t>
  </si>
  <si>
    <t>Cara ukur outcome: Dokumentasi kegiatan; laporan evaluasi.
KBI strategis: Melakukan evaluasi rutin berbasis data serta terbuka terhadap perbaikan layanan
Alignment: Mendorong perbaikan layanan berkelanjutan</t>
  </si>
  <si>
    <t>Key Activity Breakdown 1.jpeg; Strategic Alignment 1.jpeg</t>
  </si>
  <si>
    <t>Output: Ide dan draft content creation.
Outcome: Ide atau praktik kerja dibagikan dan mulai dicoba atau diadaptasi oleh unit lain; peningkatan skill pegawai terdokumentasi.
Impact: GAP Kompetensi Pegawai Organik &lt;30% (Learning &amp; Growth)</t>
  </si>
  <si>
    <t>Cara ukur outcome: Beberapa unit mencoba praktik design dari NEXTalk; laporan/dokumentasi peningkatan skill pegawai.
KBI strategis: Menggunakan data sebagai dasar keputusan
Alignment: Penutupan gap kompetensi berbasis praktik nyata</t>
  </si>
  <si>
    <t>Key Activity Breakdown 2.jpeg; Strategic Alignment 1.jpeg</t>
  </si>
  <si>
    <t>Output: Materi sharing session dan implementasi leadership pegawai.
Outcome: Pegawai mulai melihat dirinya sebagai bagian dari learning community dan bersedia menjadi kontributor pembelajaran.
Impact: JR Next Leader menjadi narasumber minimal 1x dalam periode Jan–Nov (Internal Process)</t>
  </si>
  <si>
    <t>Cara ukur outcome: ≥70% pegawai mengikuti tiap sesi NEXTalk; minimal 9 calon speaker internal teridentifikasi.
KBI strategis: Berbagi pengetahuan lintas unit
Alignment: Penguatan leadership pipeline &amp; internal knowledge capital</t>
  </si>
  <si>
    <t>Output: Work-life balance toolkit dan healthy lifestyle guide.
Outcome: Pegawai lebih memperhatikan keseimbangan kerja dan kehidupan pribadi serta pola hidup sehat.
Impact: ≥70% pegawai mengikuti sesi tiap bulan (Public Value)</t>
  </si>
  <si>
    <t>Cara ukur outcome: ≥60% peserta menyatakan materi bermanfaat; survei menunjukkan peningkatan awareness healthy lifestyle.
KBI strategis: Membangun hubungan berbasis kepercayaan
Alignment: Mendukung transformasi &amp; operational excellence</t>
  </si>
  <si>
    <t>Output: Penerima penghargaan Inspiring Champion berdasarkan kriteria penilaian.
Outcome: Meningkatnya motivasi pegawai untuk berpartisipasi sebagai narasumber maupun kontributor.
Impact: Peningkatan Kompetensi Pegawai (IDP)</t>
  </si>
  <si>
    <t>Cara ukur outcome: ≥70% peserta menyatakan kegiatan NEXTalk memberikan inspirasi atau pengetahuan baru.
KBI strategis: Adaptif terhadap sistem dan timeline
Alignment: Menguatkan pemahaman aplikatif</t>
  </si>
  <si>
    <t>Sumber: Key Activity Breakdown 1–6.jpeg dan Strategic Alignment 1–2.jpeg. Pemetaan impact adalah pemetaan kerja berdasarkan kedekatan tujuan dan perlu dikonfirmasi klien.</t>
  </si>
  <si>
    <t>Tujuan</t>
  </si>
  <si>
    <t>Waktu</t>
  </si>
  <si>
    <t>Output Target</t>
  </si>
  <si>
    <t>Outcome/KBI &amp; Cara Ukur</t>
  </si>
  <si>
    <t>Sumber Output/Outcome</t>
  </si>
  <si>
    <t>Impact Target</t>
  </si>
  <si>
    <t>KBI Strategis</t>
  </si>
  <si>
    <t>Alignment Singkat</t>
  </si>
  <si>
    <t>Sumber Impact</t>
  </si>
  <si>
    <t>Penyamaan persepsi dengan Bidang Pelayanan untuk mengidentifikasi pola kecelakaan, faktor penyebab, dan wilayah rawan kecelakaan sebagai dasar intervensi.</t>
  </si>
  <si>
    <t>Change Agent, Change Booster, Sub Bagian Pelayanan</t>
  </si>
  <si>
    <t>Maret 2026</t>
  </si>
  <si>
    <t>Key Activity Breakdown 6.jpeg</t>
  </si>
  <si>
    <t>Menggunakan data kecelakaan sebagai dasar identifikasi dan prioritas intervensi</t>
  </si>
  <si>
    <t>Intervensi keselamatan berbasis data</t>
  </si>
  <si>
    <t>Strategic Alignment 2.jpeg</t>
  </si>
  <si>
    <t>Mengurangi risiko kecelakaan pada titik rawan laka melalui intervensi bersama stakeholder.</t>
  </si>
  <si>
    <t>Sub Bagian Pelayanan</t>
  </si>
  <si>
    <t>April–Mei 2026</t>
  </si>
  <si>
    <t>Membangun budaya keselamatan sejak usia dini.</t>
  </si>
  <si>
    <t>Petugas Bidang Pelayanan &amp; Samsat Pelayanan</t>
  </si>
  <si>
    <t>Januari–Oktober 2026</t>
  </si>
  <si>
    <t>Key Activity Breakdown 5.jpeg</t>
  </si>
  <si>
    <t>Meningkatkan kepatuhan dan awareness pengemudi angkutan umum dan kendaraan berat.</t>
  </si>
  <si>
    <t>Respons cepat dan koordinasi efektif antar unit dalam proses penjaminan korban laka</t>
  </si>
  <si>
    <t>Meningkatkan kualitas dan kecepatan pelayanan publik</t>
  </si>
  <si>
    <t>Meningkatkan kesadaran masyarakat sebagai penumpang maupun pengendara tentang keselamatan berlalu lintas.</t>
  </si>
  <si>
    <t>Seluruh Pegawai</t>
  </si>
  <si>
    <t>Januari–Desember 2026</t>
  </si>
  <si>
    <t>Key Activity Breakdown 4.jpeg</t>
  </si>
  <si>
    <t>Proaktif membangun koordinasi lintas instansi serta memastikan tindak lanjut hasil forum</t>
  </si>
  <si>
    <t>Memperkuat kolaborasi ekosistem keselamatan</t>
  </si>
  <si>
    <t>Meningkatkan kesadaran masyarakat dan peran aktif perangkat desa/kelurahan dalam membangun budaya keselamatan lalu lintas pada wilayah dengan jumlah korban kecelakaan tertinggi.</t>
  </si>
  <si>
    <t>Petugas Bidang Pelayanan &amp; Samsat; Petugas Non Operasional</t>
  </si>
  <si>
    <t>Memperkuat sinergi lintas instansi dalam upaya keselamatan transportasi.</t>
  </si>
  <si>
    <t>Petugas Bidang Pelayanan &amp; Samsat</t>
  </si>
  <si>
    <t>Key Activity Breakdown 3.jpeg</t>
  </si>
  <si>
    <t>Leader, Pelayanan, Change Catalyst dan Keuangan</t>
  </si>
  <si>
    <t>April, Juli, Oktober, Desember 2026</t>
  </si>
  <si>
    <t>Melakukan evaluasi rutin berbasis data serta terbuka terhadap perbaikan layanan</t>
  </si>
  <si>
    <t>Mendorong perbaikan layanan berkelanjutan</t>
  </si>
  <si>
    <t>Meningkatkan kemampuan pegawai dalam peningkatan skill serta pemanfaatan keterampilan digital.</t>
  </si>
  <si>
    <t>Change Catalyst, Sub Bagian HC &amp; Umum, Cabang Bojonegoro, Probolinggo, Madiun</t>
  </si>
  <si>
    <t>Mei, Juli, November</t>
  </si>
  <si>
    <t>Key Activity Breakdown 1.jpeg</t>
  </si>
  <si>
    <t>Menggunakan data sebagai dasar keputusan</t>
  </si>
  <si>
    <t>Penutupan gap kompetensi berbasis praktik nyata</t>
  </si>
  <si>
    <t>Strategic Alignment 1.jpeg</t>
  </si>
  <si>
    <t>Meningkatkan kapasitas pegawai dalam aspek kepemimpinan, komunikasi efektif, serta kolaborasi tim.</t>
  </si>
  <si>
    <t>Change Catalyst, Sub Bagian HC &amp; Umum, Cabang Malang, Jember, Surabaya, Bagian Administrasi</t>
  </si>
  <si>
    <t>Januari–Maret, Oktober</t>
  </si>
  <si>
    <t>Key Activity Breakdown 2.jpeg</t>
  </si>
  <si>
    <t>Berbagi pengetahuan lintas unit</t>
  </si>
  <si>
    <t>Penguatan leadership pipeline &amp; internal knowledge capital</t>
  </si>
  <si>
    <t>Meningkatkan kesadaran pegawai terhadap pentingnya kesehatan fisik, mental, dan work-life balance.</t>
  </si>
  <si>
    <t>Change Catalyst, Sub Bagian HC &amp; Umum, Cabang Kediri, Cabang Pamekasan</t>
  </si>
  <si>
    <t>April, Agustus</t>
  </si>
  <si>
    <t>Membangun hubungan berbasis kepercayaan</t>
  </si>
  <si>
    <t>Mendukung transformasi &amp; operational excellence</t>
  </si>
  <si>
    <t>Memberikan apresiasi kepada pegawai yang berkontribusi aktif dalam kegiatan JR NEXTalk.</t>
  </si>
  <si>
    <t>Change Catalyst</t>
  </si>
  <si>
    <t>Desember</t>
  </si>
  <si>
    <t>Adaptif terhadap sistem dan timeline</t>
  </si>
  <si>
    <t>Menguatkan pemahaman aplikatif</t>
  </si>
  <si>
    <t>SCORECARD CAPAIAN THEORY OF CHANGE – 12 AKTIVITAS</t>
  </si>
  <si>
    <t>Skor adalah rata-rata % Capaian indikator pada Tracker ToC untuk setiap program dan tingkat. Sasaran naratif berasal dari dokumen client. Sel merah muda menunjukkan skor yang masih mengandung data dummy; skor Impact adalah proxy sampai KPI strategis aktual tersedia.</t>
  </si>
  <si>
    <t>RINGKASAN CAPAIAN</t>
  </si>
  <si>
    <t>KUALITAS DATA</t>
  </si>
  <si>
    <t>Tingkat</t>
  </si>
  <si>
    <t>Kualitas</t>
  </si>
  <si>
    <t>Keterangan</t>
  </si>
  <si>
    <t>Perlu verifikasi</t>
  </si>
  <si>
    <t>Terbukti</t>
  </si>
  <si>
    <t>Siap digunakan</t>
  </si>
  <si>
    <t>Total</t>
  </si>
  <si>
    <t>36 baris scorecard</t>
  </si>
  <si>
    <t>Sasaran Client</t>
  </si>
  <si>
    <t>KBI / Cara Ukur</t>
  </si>
  <si>
    <t>Target Skor</t>
  </si>
  <si>
    <t>Capaian</t>
  </si>
  <si>
    <t>Jumlah Indikator</t>
  </si>
  <si>
    <t>Alignment Strategis</t>
  </si>
  <si>
    <t>Deliverable diverifikasi melalui indikator dan bukti pada Tracker ToC.</t>
  </si>
  <si>
    <t>Mendukung rantai menuju impact strategis program.</t>
  </si>
  <si>
    <t>Laporan Bidang Pelayanan; Dashboard CERI.</t>
  </si>
  <si>
    <t>Stakeholder melakukan intervensi pada titik rawan dan koordinasi lintas lembaga meningkat.</t>
  </si>
  <si>
    <t>Laporan Andalan; monthly report Bidang Pelayanan.</t>
  </si>
  <si>
    <t>20% sekolah di Jawa Timur mendapatkan edukasi dan pengajar menjadi agen keselamatan di lingkungan keluarga dan sekolah/kampus.</t>
  </si>
  <si>
    <t>Dokumentasi kegiatan; Laporan Andalan.</t>
  </si>
  <si>
    <t>Pengemudi memahami batas kecepatan, muatan, dan aturan lalu lintas.</t>
  </si>
  <si>
    <t>Laporan Andalan; dokumentasi kegiatan.</t>
  </si>
  <si>
    <t>Masyarakat lebih peduli dan sadar terhadap keselamatan berkendara dan sebagai penumpang transportasi umum.</t>
  </si>
  <si>
    <t>Dokumentasi kegiatan; survei.</t>
  </si>
  <si>
    <t>Perangkat desa aktif menyampaikan pesan keselamatan kepada masyarakat desa; masyarakat paham dan aktif menyuarakan keselamatan lalu lintas.</t>
  </si>
  <si>
    <t>Dokumentasi kegiatan &amp; laporan pelaksanaan; jumlah komunitas terlibat.</t>
  </si>
  <si>
    <t>Intervensi setiap stakeholder tepat sasaran di masyarakat; masyarakat patuh dan sadar berkendara.</t>
  </si>
  <si>
    <t>Dokumentasi kegiatan; notulensi.</t>
  </si>
  <si>
    <t>Organisasi menggunakan data untuk meningkatkan program kesamsatan.</t>
  </si>
  <si>
    <t>Dokumentasi kegiatan; laporan evaluasi.</t>
  </si>
  <si>
    <t>Ide atau praktik kerja dibagikan dan mulai dicoba atau diadaptasi oleh unit lain; peningkatan skill pegawai terdokumentasi.</t>
  </si>
  <si>
    <t>Beberapa unit mencoba praktik design dari NEXTalk; laporan/dokumentasi peningkatan skill pegawai.</t>
  </si>
  <si>
    <t>Pegawai mulai melihat dirinya sebagai bagian dari learning community dan bersedia menjadi kontributor pembelajaran.</t>
  </si>
  <si>
    <t>≥70% pegawai mengikuti tiap sesi NEXTalk; minimal 9 calon speaker internal teridentifikasi.</t>
  </si>
  <si>
    <t>Pegawai lebih memperhatikan keseimbangan kerja dan kehidupan pribadi serta pola hidup sehat.</t>
  </si>
  <si>
    <t>≥60% peserta menyatakan materi bermanfaat; survei menunjukkan peningkatan awareness healthy lifestyle.</t>
  </si>
  <si>
    <t>Meningkatnya motivasi pegawai untuk berpartisipasi sebagai narasumber maupun kontributor.</t>
  </si>
  <si>
    <t>≥70% peserta menyatakan kegiatan NEXTalk memberikan inspirasi atau pengetahuan baru.</t>
  </si>
  <si>
    <t>DASHBOARD MENTORING – JAWA TIMUR</t>
  </si>
  <si>
    <t>IND-001</t>
  </si>
  <si>
    <t>Data dan sumber daya studi baseline tersedia</t>
  </si>
  <si>
    <t>Ketersediaan sumber data baseline</t>
  </si>
  <si>
    <t>Jumlah set data utama yang siap dianalisis</t>
  </si>
  <si>
    <t>set data</t>
  </si>
  <si>
    <t>Blueprint 6.jpeg – A1</t>
  </si>
  <si>
    <t>Bulanan</t>
  </si>
  <si>
    <t>Konfirmasi kelengkapan data korban, santunan, dan faktor penyebab</t>
  </si>
  <si>
    <t>Blueprint</t>
  </si>
  <si>
    <t>IND-002</t>
  </si>
  <si>
    <t>Studi baseline dan pemetaan dilaksanakan</t>
  </si>
  <si>
    <t>Tahapan studi baseline selesai</t>
  </si>
  <si>
    <t>Proporsi tahapan studi yang selesai</t>
  </si>
  <si>
    <t>% tahapan</t>
  </si>
  <si>
    <t>Lampirkan metodologi, daftar data, dan notulen penyamaan persepsi</t>
  </si>
  <si>
    <t>IND-003</t>
  </si>
  <si>
    <t>Deliverable baseline tersedia</t>
  </si>
  <si>
    <t>Jumlah deliverable yang tersedia: insight report, data korban/santunan, dan faktor penyebab</t>
  </si>
  <si>
    <t>deliverable</t>
  </si>
  <si>
    <t>Validasi tiga deliverable dan tautan penyimpanan</t>
  </si>
  <si>
    <t>Target naratif: Key Activity Breakdown 6.jpeg.</t>
  </si>
  <si>
    <t>IND-004</t>
  </si>
  <si>
    <t>Tersedianya data kecelakaan sebagai dasar Program JAWA TIMUR dan setiap intervensi JAWA TIMUR berbasis data.</t>
  </si>
  <si>
    <t>Intervensi yang menggunakan baseline</t>
  </si>
  <si>
    <t>Persentase intervensi yang merujuk pada baseline atau dashboard</t>
  </si>
  <si>
    <t>% intervensi</t>
  </si>
  <si>
    <t>Triwulanan</t>
  </si>
  <si>
    <t>Tambahkan referensi baseline pada setiap proposal intervensi</t>
  </si>
  <si>
    <t>IND-005</t>
  </si>
  <si>
    <t>Rekomendasi berbasis data ditindaklanjuti</t>
  </si>
  <si>
    <t>Persentase rekomendasi berbasis data yang ditindaklanjuti</t>
  </si>
  <si>
    <t>% rekomendasi</t>
  </si>
  <si>
    <t>Semesteran</t>
  </si>
  <si>
    <t>Buat register rekomendasi dan keputusan</t>
  </si>
  <si>
    <t>Target naratif: Strategic Alignment 2.jpeg. Pemetaan impact perlu konfirmasi klien; skor memakai indikator impact Tracker sebagai proxy sampai KPI strategis diisi.</t>
  </si>
  <si>
    <t>IND-006</t>
  </si>
  <si>
    <t>Sumber daya intervensi blackspot tersedia</t>
  </si>
  <si>
    <t>Anggaran intervensi tersedia</t>
  </si>
  <si>
    <t>Anggaran yang dialokasikan dan direalisasikan</t>
  </si>
  <si>
    <t>Rp juta</t>
  </si>
  <si>
    <t>Blueprint 6.jpeg – A2</t>
  </si>
  <si>
    <t>Konfirmasi pagu dan dukungan stakeholder</t>
  </si>
  <si>
    <t>IND-007</t>
  </si>
  <si>
    <t>Intervensi titik rawan dirancang dan dilaksanakan</t>
  </si>
  <si>
    <t>Tahapan intervensi selesai</t>
  </si>
  <si>
    <t>Proporsi tahapan pemetaan, koordinasi, dan intervensi yang selesai</t>
  </si>
  <si>
    <t>Lampirkan peta titik rawan dan berita acara koordinasi</t>
  </si>
  <si>
    <t>IND-008</t>
  </si>
  <si>
    <t>Rekomendasi intervensi berbasis pemetaan</t>
  </si>
  <si>
    <t>Jumlah dokumen rekomendasi kegiatan/intervensi</t>
  </si>
  <si>
    <t>dokumen</t>
  </si>
  <si>
    <t>Catat jenis intervensi, lokasi, PIC, dan tenggat</t>
  </si>
  <si>
    <t>IND-009</t>
  </si>
  <si>
    <t>Titik rawan dengan intervensi stakeholder</t>
  </si>
  <si>
    <t>Jumlah titik rawan yang menerima intervensi</t>
  </si>
  <si>
    <t>titik rawan</t>
  </si>
  <si>
    <t>Ganti angka dummy dengan bukti intervensi per lokasi</t>
  </si>
  <si>
    <t>IND-010</t>
  </si>
  <si>
    <t>Penurunan insiden pada titik intervensi</t>
  </si>
  <si>
    <t>Persentase penurunan insiden dibanding periode pembanding</t>
  </si>
  <si>
    <t>% penurunan</t>
  </si>
  <si>
    <t>Gunakan data sebelum–sesudah dan lokasi pembanding</t>
  </si>
  <si>
    <t>IND-011</t>
  </si>
  <si>
    <t>Sumber daya edukasi sekolah tersedia</t>
  </si>
  <si>
    <t>Anggaran program tersedia</t>
  </si>
  <si>
    <t>Anggaran yang dialokasikan dan direalisasikan untuk edukasi sekolah</t>
  </si>
  <si>
    <t>Belum ada di laporan</t>
  </si>
  <si>
    <t>Koordinator Edukasi</t>
  </si>
  <si>
    <t>Konfirmasi pagu dan realisasi anggaran</t>
  </si>
  <si>
    <t>IND-012</t>
  </si>
  <si>
    <t>Edukasi/PPKL dan pemasangan spanduk dilaksanakan</t>
  </si>
  <si>
    <t>Kegiatan PPKL dan pemasangan spanduk bulan Juni</t>
  </si>
  <si>
    <t>Jumlah kegiatan yang selesai pada bulan berjalan</t>
  </si>
  <si>
    <t>Activity 1.jpeg – A3</t>
  </si>
  <si>
    <t>Lampirkan daftar sekolah dan dokumentasi</t>
  </si>
  <si>
    <t>Target numerik tidak tercantum; laporan menyebut kegiatan sesuai target.</t>
  </si>
  <si>
    <t>IND-013</t>
  </si>
  <si>
    <t>Kegiatan PPKL kumulatif s.d. Juni</t>
  </si>
  <si>
    <t>Jumlah kegiatan PPKL yang tercatat sejak Januari sampai Juni 2026</t>
  </si>
  <si>
    <t>Rekonsiliasi daftar kegiatan per sekolah</t>
  </si>
  <si>
    <t>Target naratif: Key Activity Breakdown 5.jpeg.</t>
  </si>
  <si>
    <t>IND-014</t>
  </si>
  <si>
    <t>Himbauan keselamatan terpasang s.d. Juni</t>
  </si>
  <si>
    <t>Jumlah himbauan/spanduk keselamatan yang terpasang</t>
  </si>
  <si>
    <t>Catat lokasi dan kondisi media</t>
  </si>
  <si>
    <t>IND-015</t>
  </si>
  <si>
    <t>Peserta dengan kenaikan skor pengetahuan ≥20%</t>
  </si>
  <si>
    <t>Persentase peserta dengan skor pasca-sesi minimal 20% lebih tinggi dari pra-sesi</t>
  </si>
  <si>
    <t>% peserta</t>
  </si>
  <si>
    <t>Belum ada pre/post-test</t>
  </si>
  <si>
    <t>Gunakan pre/post-test singkat yang sama</t>
  </si>
  <si>
    <t>IND-016</t>
  </si>
  <si>
    <t>Penurunan insiden kecelakaan di sekolah sasaran</t>
  </si>
  <si>
    <t>Belum ada data insiden</t>
  </si>
  <si>
    <t>Minta data insiden dari sekolah/mitra</t>
  </si>
  <si>
    <t>IND-017</t>
  </si>
  <si>
    <t>Sumber daya pemeriksaan dan edukasi pengemudi tersedia</t>
  </si>
  <si>
    <t>Anggaran yang dialokasikan dan direalisasikan untuk program keselamatan pengemudi</t>
  </si>
  <si>
    <t>Koordinator Transport</t>
  </si>
  <si>
    <t>IND-018</t>
  </si>
  <si>
    <t>Operasi gabungan dan ramp check dilaksanakan</t>
  </si>
  <si>
    <t>Loket melaksanakan operasi gabungan/ramp check</t>
  </si>
  <si>
    <t>Jumlah loket yang melaksanakan kegiatan</t>
  </si>
  <si>
    <t>Activity 1.jpeg – A4</t>
  </si>
  <si>
    <t>Validasi denominator jumlah loket</t>
  </si>
  <si>
    <t>Laporan menyebut semua loket; angka 8 diturunkan dari cakupan loket pada keluaran lain.</t>
  </si>
  <si>
    <t>IND-019</t>
  </si>
  <si>
    <t>Kampanye keselamatan pada kendaraan dilaksanakan</t>
  </si>
  <si>
    <t>Giat pemasangan stiker bulan Juni</t>
  </si>
  <si>
    <t>Jumlah giat pemasangan stiker keselamatan</t>
  </si>
  <si>
    <t>Lampirkan daftar lokasi</t>
  </si>
  <si>
    <t>IND-020</t>
  </si>
  <si>
    <t>Stiker keselamatan terpasang</t>
  </si>
  <si>
    <t>Jumlah stiker keselamatan yang dipasang pada mobil penumpang umum</t>
  </si>
  <si>
    <t>Simpan foto dan nomor kendaraan</t>
  </si>
  <si>
    <t>IND-021</t>
  </si>
  <si>
    <t>Kegiatan PPGD</t>
  </si>
  <si>
    <t>Jumlah kegiatan PPGD yang terlaksana</t>
  </si>
  <si>
    <t>Rekonsiliasi peserta dan loket</t>
  </si>
  <si>
    <t>IND-022</t>
  </si>
  <si>
    <t>Kegiatan MUKL</t>
  </si>
  <si>
    <t>Jumlah kegiatan Mobil Unit Keselamatan Lalu Lintas</t>
  </si>
  <si>
    <t>Catat terminal/PO yang dijangkau</t>
  </si>
  <si>
    <t>IND-023</t>
  </si>
  <si>
    <t>Jumlah peserta diklat bersama KNKT</t>
  </si>
  <si>
    <t>Simpan daftar hadir dan hasil tes</t>
  </si>
  <si>
    <t>IND-024</t>
  </si>
  <si>
    <t>Kendaraan lulus pemeriksaan keselamatan</t>
  </si>
  <si>
    <t>Persentase kendaraan yang memenuhi pemeriksaan keselamatan</t>
  </si>
  <si>
    <t>% kendaraan</t>
  </si>
  <si>
    <t>Belum ada hasil ramp check terstruktur</t>
  </si>
  <si>
    <t>Rekap lulus/tidak lulus per loket</t>
  </si>
  <si>
    <t>IND-025</t>
  </si>
  <si>
    <t>Penurunan kecelakaan pada pengemudi sasaran</t>
  </si>
  <si>
    <t>Persentase penurunan kecelakaan dibanding periode pembanding</t>
  </si>
  <si>
    <t>Belum ada data kecelakaan terhubung</t>
  </si>
  <si>
    <t>Hubungkan daftar peserta dengan data insiden</t>
  </si>
  <si>
    <t>IND-026</t>
  </si>
  <si>
    <t>Sumber daya kampanye publik tersedia</t>
  </si>
  <si>
    <t>Anggaran yang dialokasikan dan direalisasikan untuk kampanye publik</t>
  </si>
  <si>
    <t>Koordinator Kampanye</t>
  </si>
  <si>
    <t>IND-027</t>
  </si>
  <si>
    <t>Pemasangan stiker di bus dilaksanakan</t>
  </si>
  <si>
    <t>Jumlah lokasi pemasangan stiker keselamatan</t>
  </si>
  <si>
    <t>Activity 2.jpeg – A5</t>
  </si>
  <si>
    <t>Lampirkan lokasi dan dokumentasi</t>
  </si>
  <si>
    <t>IND-028</t>
  </si>
  <si>
    <t>Diklat keselamatan angkutan umum dilaksanakan</t>
  </si>
  <si>
    <t>Kegiatan diklat pengemudi dan awak</t>
  </si>
  <si>
    <t>Jumlah kegiatan diklat yang selesai</t>
  </si>
  <si>
    <t>Simpan agenda dan materi</t>
  </si>
  <si>
    <t>IND-029</t>
  </si>
  <si>
    <t>Jumlah stiker keselamatan yang dipasang</t>
  </si>
  <si>
    <t>Catat armada dan estimasi jangkauan</t>
  </si>
  <si>
    <t>Target naratif: Key Activity Breakdown 4.jpeg.</t>
  </si>
  <si>
    <t>IND-030</t>
  </si>
  <si>
    <t>Peserta diklat</t>
  </si>
  <si>
    <t>Jumlah peserta yang mengikuti diklat</t>
  </si>
  <si>
    <t>IND-031</t>
  </si>
  <si>
    <t>Persentase peserta dengan kenaikan skor sesuai ambang</t>
  </si>
  <si>
    <t>Tambahkan pre/post-test dan survei paparan</t>
  </si>
  <si>
    <t>IND-032</t>
  </si>
  <si>
    <t>Penurunan insiden armada sasaran</t>
  </si>
  <si>
    <t>Persentase penurunan insiden pada armada yang dijangkau</t>
  </si>
  <si>
    <t>Belum ada data insiden armada</t>
  </si>
  <si>
    <t>Minta data insiden dari operator</t>
  </si>
  <si>
    <t>IND-033</t>
  </si>
  <si>
    <t>Sumber daya edukasi komunitas dan PPGD tersedia</t>
  </si>
  <si>
    <t>Anggaran yang dialokasikan dan direalisasikan untuk program komunitas</t>
  </si>
  <si>
    <t>Koordinator Komunitas</t>
  </si>
  <si>
    <t>IND-034</t>
  </si>
  <si>
    <t>Kampanye keselamatan saat survei korban dilaksanakan</t>
  </si>
  <si>
    <t>Sesi kampanye pada survei korban/ahli waris</t>
  </si>
  <si>
    <t>Jumlah sesi kampanye yang terdokumentasi</t>
  </si>
  <si>
    <t>Activity 2.jpeg – A6 (tanpa jumlah)</t>
  </si>
  <si>
    <t>Rekap jumlah survei dan bukti pemberian pesan</t>
  </si>
  <si>
    <t>IND-035</t>
  </si>
  <si>
    <t>Sosialisasi keselamatan tingkat desa dilaksanakan</t>
  </si>
  <si>
    <t>Kelurahan/desa dengan spanduk keselamatan</t>
  </si>
  <si>
    <t>Jumlah kelurahan/desa yang memasang spanduk</t>
  </si>
  <si>
    <t>Activity 2.jpeg – A6 (beberapa kelurahan)</t>
  </si>
  <si>
    <t>Ganti angka dummy dengan daftar wilayah</t>
  </si>
  <si>
    <t>IND-036</t>
  </si>
  <si>
    <t>Activity 2.jpeg – A6</t>
  </si>
  <si>
    <t>Rekonsiliasi peserta dan materi</t>
  </si>
  <si>
    <t>IND-037</t>
  </si>
  <si>
    <t>Loket pelaksana PPGD</t>
  </si>
  <si>
    <t>Jumlah loket yang melaksanakan PPGD</t>
  </si>
  <si>
    <t>Simpan daftar loket</t>
  </si>
  <si>
    <t>IND-038</t>
  </si>
  <si>
    <t>Peserta lulus simulasi PPGD</t>
  </si>
  <si>
    <t>Persentase peserta yang memenuhi standar simulasi</t>
  </si>
  <si>
    <t>Belum ada penilaian kompetensi</t>
  </si>
  <si>
    <t>Gunakan checklist simulasi seragam</t>
  </si>
  <si>
    <t>IND-039</t>
  </si>
  <si>
    <t>Perbaikan waktu respons awal</t>
  </si>
  <si>
    <t>Persentase perbaikan median waktu respons</t>
  </si>
  <si>
    <t>% perbaikan</t>
  </si>
  <si>
    <t>Belum ada data waktu respons</t>
  </si>
  <si>
    <t>Catat waktu kejadian–pertolongan</t>
  </si>
  <si>
    <t>IND-040</t>
  </si>
  <si>
    <t>Kegiatan FKLLJ/FLLAJ</t>
  </si>
  <si>
    <t>Jumlah kegiatan forum yang terlaksana pada Juni 2026</t>
  </si>
  <si>
    <t>Activity 3.jpeg – A7</t>
  </si>
  <si>
    <t>Koordinator Kemitraan</t>
  </si>
  <si>
    <t>Simpan notulen dan daftar tindak lanjut</t>
  </si>
  <si>
    <t>Target naratif: Key Activity Breakdown 3.jpeg.</t>
  </si>
  <si>
    <t>IND-041</t>
  </si>
  <si>
    <t>Loket pelaksana FKLLJ/FLLAJ</t>
  </si>
  <si>
    <t>Jumlah loket yang melaksanakan kegiatan forum</t>
  </si>
  <si>
    <t>IND-042</t>
  </si>
  <si>
    <t>Komitmen kolaborasi selesai ditindaklanjuti</t>
  </si>
  <si>
    <t>Persentase butir tindak lanjut yang selesai sesuai tenggat</t>
  </si>
  <si>
    <t>% komitmen</t>
  </si>
  <si>
    <t>Belum ada register tindak lanjut</t>
  </si>
  <si>
    <t>Buat register aksi, PIC, dan tenggat</t>
  </si>
  <si>
    <t>IND-043</t>
  </si>
  <si>
    <t>Aksi kolaboratif dengan hasil terverifikasi</t>
  </si>
  <si>
    <t>Persentase aksi kolaboratif yang menunjukkan hasil keselamatan</t>
  </si>
  <si>
    <t>% aksi</t>
  </si>
  <si>
    <t>Belum ada evaluasi kontribusi</t>
  </si>
  <si>
    <t>Dokumentasikan hasil dan kontribusi mitra</t>
  </si>
  <si>
    <t>IND-044</t>
  </si>
  <si>
    <t>Sumber daya koordinasi lintas pemangku kepentingan tersedia</t>
  </si>
  <si>
    <t>Anggaran yang dialokasikan dan direalisasikan untuk kolaborasi</t>
  </si>
  <si>
    <t>IND-045</t>
  </si>
  <si>
    <t>Sharing and Caring bersama rumah sakit dilaksanakan</t>
  </si>
  <si>
    <t>Loket melaksanakan Sharing and Caring</t>
  </si>
  <si>
    <t>Jumlah loket yang melaksanakan kegiatan Januari–Juni</t>
  </si>
  <si>
    <t>Activity 3.jpeg – A7 (nilai X)</t>
  </si>
  <si>
    <t>Ganti nilai X dengan rekap loket</t>
  </si>
  <si>
    <t>IND-046</t>
  </si>
  <si>
    <t>Aksi simpatik bersama mitra dilaksanakan</t>
  </si>
  <si>
    <t>Loket melaksanakan aksi simpatik</t>
  </si>
  <si>
    <t>Jumlah loket yang melaksanakan aksi bersama mitra</t>
  </si>
  <si>
    <t>IND-047</t>
  </si>
  <si>
    <t>Data monitoring dan tim evaluasi tersedia</t>
  </si>
  <si>
    <t>Laporan monitoring program tersedia</t>
  </si>
  <si>
    <t>Jumlah laporan monitoring bulanan yang terkumpul</t>
  </si>
  <si>
    <t>laporan</t>
  </si>
  <si>
    <t>Blueprint 3.jpeg – A8</t>
  </si>
  <si>
    <t>Tetapkan format pelaporan seragam untuk 12 program</t>
  </si>
  <si>
    <t>IND-048</t>
  </si>
  <si>
    <t>Review dan evaluasi dampak dilaksanakan berkala</t>
  </si>
  <si>
    <t>Siklus review terlaksana</t>
  </si>
  <si>
    <t>Jumlah siklus review April, Juli, Oktober, dan Desember</t>
  </si>
  <si>
    <t>siklus</t>
  </si>
  <si>
    <t>Lampirkan agenda, notulen, dan keputusan</t>
  </si>
  <si>
    <t>IND-049</t>
  </si>
  <si>
    <t>Laporan evaluasi Program JAWA TIMUR; rekomendasi program lanjutan; pengambilan keputusan berbasis data evaluasi.</t>
  </si>
  <si>
    <t>Deliverable evaluasi tersedia</t>
  </si>
  <si>
    <t>Jumlah deliverable: laporan evaluasi, rekomendasi, dan keputusan berbasis data</t>
  </si>
  <si>
    <t>Hubungkan rekomendasi dengan keputusan pimpinan</t>
  </si>
  <si>
    <t>IND-050</t>
  </si>
  <si>
    <t>Keputusan program berbasis data</t>
  </si>
  <si>
    <t>Persentase keputusan program yang merujuk pada data evaluasi</t>
  </si>
  <si>
    <t>% keputusan</t>
  </si>
  <si>
    <t>Tambahkan evidence link pada register keputusan</t>
  </si>
  <si>
    <t>IND-051</t>
  </si>
  <si>
    <t>Perbaikan program ditindaklanjuti</t>
  </si>
  <si>
    <t>Persentase rekomendasi perbaikan yang selesai</t>
  </si>
  <si>
    <t>Pantau tindak lanjut lintas program</t>
  </si>
  <si>
    <t>IND-052</t>
  </si>
  <si>
    <t>Kontributor dan perangkat digital tersedia</t>
  </si>
  <si>
    <t>Unit/PIC pendukung terlibat</t>
  </si>
  <si>
    <t>Jumlah unit/PIC yang terlibat sesuai blueprint</t>
  </si>
  <si>
    <t>unit</t>
  </si>
  <si>
    <t>Blueprint 1.jpeg – A9</t>
  </si>
  <si>
    <t>Konfirmasi daftar kontributor dan dukungan perangkat</t>
  </si>
  <si>
    <t>IND-053</t>
  </si>
  <si>
    <t>Sesi personal growth dan digital skills dilaksanakan</t>
  </si>
  <si>
    <t>Siklus kegiatan terlaksana</t>
  </si>
  <si>
    <t>Jumlah siklus Mei, Juli, dan November yang terlaksana</t>
  </si>
  <si>
    <t>Lampirkan agenda dan daftar hadir</t>
  </si>
  <si>
    <t>IND-054</t>
  </si>
  <si>
    <t>Deliverable content creation</t>
  </si>
  <si>
    <t>Jumlah ide dan draft yang tersedia</t>
  </si>
  <si>
    <t>Tautkan ide/draft dan pemiliknya</t>
  </si>
  <si>
    <t>Target naratif: Key Activity Breakdown 1.jpeg.</t>
  </si>
  <si>
    <t>IND-055</t>
  </si>
  <si>
    <t>Unit mencoba praktik dari NEXTalk</t>
  </si>
  <si>
    <t>Jumlah unit yang mencoba praktik atau desain yang dibagikan</t>
  </si>
  <si>
    <t>Kumpulkan bukti uji coba dan pembelajaran</t>
  </si>
  <si>
    <t>IND-056</t>
  </si>
  <si>
    <t>Pegawai dengan peningkatan skill terdokumentasi</t>
  </si>
  <si>
    <t>Persentase peserta dengan bukti peningkatan skill</t>
  </si>
  <si>
    <t>Gunakan asesmen sebelum–sesudah atau portofolio</t>
  </si>
  <si>
    <t>Target naratif: Strategic Alignment 1.jpeg. Pemetaan impact perlu konfirmasi klien; skor memakai indikator impact Tracker sebagai proxy sampai KPI strategis diisi.</t>
  </si>
  <si>
    <t>IND-057</t>
  </si>
  <si>
    <t>Kontributor leadership dan dukungan unit tersedia</t>
  </si>
  <si>
    <t>Blueprint 2.jpeg – A10</t>
  </si>
  <si>
    <t>Konfirmasi speaker dan dukungan unit</t>
  </si>
  <si>
    <t>IND-058</t>
  </si>
  <si>
    <t>Sesi leadership dan collaboration dilaksanakan</t>
  </si>
  <si>
    <t>Sesi NEXTalk terlaksana</t>
  </si>
  <si>
    <t>Jumlah sesi pada Januari–Maret dan Oktober</t>
  </si>
  <si>
    <t>Lampirkan materi dan daftar hadir</t>
  </si>
  <si>
    <t>IND-059</t>
  </si>
  <si>
    <t>Deliverable leadership tersedia</t>
  </si>
  <si>
    <t>Jumlah deliverable materi sharing dan implementasi</t>
  </si>
  <si>
    <t>Tautkan materi dan contoh implementasi</t>
  </si>
  <si>
    <t>Target naratif: Key Activity Breakdown 2.jpeg.</t>
  </si>
  <si>
    <t>IND-060</t>
  </si>
  <si>
    <t>Partisipasi pegawai pada tiap sesi</t>
  </si>
  <si>
    <t>Persentase pegawai yang mengikuti tiap sesi NEXTalk</t>
  </si>
  <si>
    <t>% pegawai</t>
  </si>
  <si>
    <t>Rekonsiliasi daftar hadir dengan denominator pegawai</t>
  </si>
  <si>
    <t>IND-061</t>
  </si>
  <si>
    <t>Calon speaker internal teridentifikasi</t>
  </si>
  <si>
    <t>Jumlah calon speaker internal yang siap berkontribusi</t>
  </si>
  <si>
    <t>speaker</t>
  </si>
  <si>
    <t>Buat pipeline speaker dan topik</t>
  </si>
  <si>
    <t>IND-062</t>
  </si>
  <si>
    <t>Fasilitator dan dukungan unit wellbeing tersedia</t>
  </si>
  <si>
    <t>Blueprint 2.jpeg – A11</t>
  </si>
  <si>
    <t>Konfirmasi fasilitator, materi, dan kanal komunikasi</t>
  </si>
  <si>
    <t>IND-063</t>
  </si>
  <si>
    <t>Sesi wellbeing dan work-life balance dilaksanakan</t>
  </si>
  <si>
    <t>Sesi terjadwal terlaksana</t>
  </si>
  <si>
    <t>Jumlah sesi April dan Agustus yang terlaksana</t>
  </si>
  <si>
    <t>IND-064</t>
  </si>
  <si>
    <t>Deliverable wellbeing tersedia</t>
  </si>
  <si>
    <t>Jumlah toolkit dan guide yang tersedia</t>
  </si>
  <si>
    <t>Tautkan dokumen dan bukti distribusi</t>
  </si>
  <si>
    <t>IND-065</t>
  </si>
  <si>
    <t>Peserta menyatakan materi bermanfaat</t>
  </si>
  <si>
    <t>Persentase peserta yang menyatakan materi bermanfaat</t>
  </si>
  <si>
    <t>Gunakan survei singkat setelah sesi</t>
  </si>
  <si>
    <t>IND-066</t>
  </si>
  <si>
    <t>Pegawai menerapkan praktik healthy lifestyle</t>
  </si>
  <si>
    <t>Persentase peserta yang melaporkan penerapan praktik</t>
  </si>
  <si>
    <t>Lakukan pulse survey tindak lanjut</t>
  </si>
  <si>
    <t>IND-067</t>
  </si>
  <si>
    <t>Kriteria dan kandidat penghargaan tersedia</t>
  </si>
  <si>
    <t>Kandidat Inspiring Champion</t>
  </si>
  <si>
    <t>Jumlah kandidat yang masuk proses nominasi</t>
  </si>
  <si>
    <t>kandidat</t>
  </si>
  <si>
    <t>Blueprint 1.jpeg – A12</t>
  </si>
  <si>
    <t>Tetapkan kriteria dan dokumentasikan nominasi</t>
  </si>
  <si>
    <t>Jadwal penghargaan Desember; nilai realisasi adalah placeholder, bukan indikasi keterlambatan.</t>
  </si>
  <si>
    <t>IND-068</t>
  </si>
  <si>
    <t>Seleksi Inspiring Champion dilaksanakan</t>
  </si>
  <si>
    <t>Tahapan seleksi selesai</t>
  </si>
  <si>
    <t>Proporsi tahapan nominasi, penilaian, dan penetapan yang selesai</t>
  </si>
  <si>
    <t>Siapkan timeline dan panel penilai</t>
  </si>
  <si>
    <t>Jadwal penghargaan Desember.</t>
  </si>
  <si>
    <t>IND-069</t>
  </si>
  <si>
    <t>Penerima penghargaan</t>
  </si>
  <si>
    <t>Jumlah penerima berdasarkan kriteria penilaian</t>
  </si>
  <si>
    <t>penerima</t>
  </si>
  <si>
    <t>Tahunan</t>
  </si>
  <si>
    <t>Isi setelah proses penilaian Desember</t>
  </si>
  <si>
    <t>Jadwal penghargaan Desember; nilai nol bukan indikasi keterlambatan. Target naratif: Key Activity Breakdown 1.jpeg.</t>
  </si>
  <si>
    <t>IND-070</t>
  </si>
  <si>
    <t>Peserta menilai NEXTalk inspiratif</t>
  </si>
  <si>
    <t>Persentase peserta yang menyatakan NEXTalk memberi inspirasi/pengetahuan</t>
  </si>
  <si>
    <t>Gunakan survei peserta NEXTalk</t>
  </si>
  <si>
    <t>IND-071</t>
  </si>
  <si>
    <t>Pegawai aktif sebagai kontributor</t>
  </si>
  <si>
    <t>Persentase peserta yang menjadi narasumber atau kontributor</t>
  </si>
  <si>
    <t>Pantau kontributor unik dan kontribusi berulang</t>
  </si>
  <si>
    <t>RANTAI THEORY OF CHANGE – PROGRAM JAWA TIMUR</t>
  </si>
  <si>
    <t>Tersedianya data kecelakaan sebagai dasar Program JAWA TIMUR dan setiap intervensi JAWA TIMUR berbasis data.
Cara ukur: Laporan Bidang Pelayanan; Dashboard CERI.</t>
  </si>
  <si>
    <t>Output: Road safety insight report; data korban kecelakaan dan santunan; faktor penyebab kecelakaan.
Outcome: Tersedianya data kecelakaan sebagai dasar Program JAWA TIMUR dan setiap intervensi JAWA TIMUR berbasis data.
Impact: Implementasi Penanganan Titik Rawan Laka 100% terintervensi (Data &amp; Digital)</t>
  </si>
  <si>
    <t>Output: Laporan evaluasi Program JAWA TIMUR; rekomendasi program lanjutan; pengambilan keputusan berbasis data evaluasi.
Outcome: Organisasi menggunakan data untuk meningkatkan program kesamsatan.
Impact: Anev Pelayanan Luar Biasa 100% (Agility &amp; Learning)</t>
  </si>
  <si>
    <t>TARGET 12 PROGRAM JAWA TIMUR</t>
  </si>
  <si>
    <t>Memastikan Program JAWA TIMUR berjalan efektif dan berkelanjutan.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</si>
</sst>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#,##0.0"/>
    <numFmt numFmtId="166" formatCode="0.0%"/>
  </numFmts>
  <fonts count="19">
    <font>
      <sz val="11"/>
      <color rgb="FF000000"/>
      <name val="Carlito"/>
    </font>
    <font>
      <b/>
      <sz val="18"/>
      <color rgb="FFFFFFFF"/>
      <name val="Play"/>
    </font>
    <font>
      <sz val="11"/>
      <name val="Carlito"/>
    </font>
    <font>
      <i/>
      <sz val="10"/>
      <color rgb="FF17365D"/>
      <name val="Aptos"/>
    </font>
    <font>
      <b/>
      <sz val="10"/>
      <color rgb="FFFFFFFF"/>
      <name val="Aptos"/>
    </font>
    <font>
      <b/>
      <sz val="11"/>
      <color rgb="FFFFFFFF"/>
      <name val="Aptos"/>
    </font>
    <font>
      <sz val="10"/>
      <color rgb="FF1F1F1F"/>
      <name val="Aptos"/>
    </font>
    <font>
      <sz val="10"/>
      <color rgb="FF1F1F1F"/>
      <name val="Arial"/>
    </font>
    <font>
      <b/>
      <sz val="22"/>
      <color rgb="FF17365D"/>
      <name val="Play"/>
    </font>
    <font>
      <b/>
      <sz val="22"/>
      <color rgb="FF1F7A8C"/>
      <name val="Play"/>
    </font>
    <font>
      <b/>
      <sz val="22"/>
      <color rgb="FF70AD47"/>
      <name val="Play"/>
    </font>
    <font>
      <b/>
      <sz val="22"/>
      <color rgb="FFC00000"/>
      <name val="Play"/>
    </font>
    <font>
      <b/>
      <sz val="11"/>
      <color rgb="FF17365D"/>
      <name val="Aptos"/>
    </font>
    <font>
      <sz val="11"/>
      <color theme="1"/>
      <name val="Carlito"/>
    </font>
    <font>
      <sz val="10"/>
      <color rgb="FF666666"/>
      <name val="Aptos"/>
    </font>
    <font>
      <b/>
      <sz val="16"/>
      <color rgb="FFFFFFFF"/>
      <name val="Aptos Display"/>
    </font>
    <font>
      <i/>
      <sz val="10"/>
      <color rgb="FF37506B"/>
      <name val="Aptos"/>
    </font>
    <font>
      <sz val="9"/>
      <color rgb="FF1F1F1F"/>
      <name val="Aptos"/>
    </font>
    <font>
      <b/>
      <sz val="9"/>
      <color rgb="FFFFFFFF"/>
      <name val="Aptos"/>
    </font>
  </fonts>
  <fills count="2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1F7A8C"/>
      </patternFill>
    </fill>
    <fill>
      <patternFill patternType="solid">
        <fgColor rgb="FFEDE7F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D9EAF7"/>
      </patternFill>
    </fill>
    <fill>
      <patternFill patternType="solid">
        <fgColor rgb="FFEDE7F6"/>
      </patternFill>
    </fill>
    <fill>
      <patternFill patternType="solid">
        <fgColor rgb="FFF2F2F2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C6E7F4"/>
      </patternFill>
    </fill>
    <fill>
      <patternFill patternType="solid">
        <fgColor rgb="FF1F7A8C"/>
      </patternFill>
    </fill>
    <fill>
      <patternFill patternType="solid">
        <fgColor rgb="FFF4CCCC"/>
      </patternFill>
    </fill>
    <fill>
      <patternFill patternType="solid">
        <fgColor rgb="FFEAF5FA"/>
      </patternFill>
    </fill>
    <fill>
      <patternFill patternType="solid">
        <fgColor rgb="FFC6E7F4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  <border>
      <left/>
      <right/>
      <top/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  <border>
      <left style="medium">
        <color rgb="FF17365D"/>
      </left>
      <right/>
      <top style="medium">
        <color rgb="FF17365D"/>
      </top>
      <bottom/>
      <diagonal/>
    </border>
    <border>
      <left/>
      <right style="medium">
        <color rgb="FF17365D"/>
      </right>
      <top style="medium">
        <color rgb="FF17365D"/>
      </top>
      <bottom/>
      <diagonal/>
    </border>
    <border>
      <left style="medium">
        <color rgb="FF1F7A8C"/>
      </left>
      <right/>
      <top style="medium">
        <color rgb="FF1F7A8C"/>
      </top>
      <bottom/>
      <diagonal/>
    </border>
    <border>
      <left/>
      <right style="medium">
        <color rgb="FF1F7A8C"/>
      </right>
      <top style="medium">
        <color rgb="FF1F7A8C"/>
      </top>
      <bottom/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 style="medium">
        <color rgb="FF1F7A8C"/>
      </left>
      <right/>
      <top/>
      <bottom style="medium">
        <color rgb="FF1F7A8C"/>
      </bottom>
      <diagonal/>
    </border>
    <border>
      <left/>
      <right style="medium">
        <color rgb="FF1F7A8C"/>
      </right>
      <top/>
      <bottom style="medium">
        <color rgb="FF1F7A8C"/>
      </bottom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/>
      <bottom style="thin">
        <color rgb="FFC9D3DD"/>
      </bottom>
      <diagonal/>
    </border>
    <border>
      <left/>
      <right/>
      <top style="thin">
        <color rgb="FFC9D3DD"/>
      </top>
      <bottom style="thin">
        <color rgb="FFC9D3DD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4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top" wrapText="1"/>
    </xf>
    <xf numFmtId="0" fontId="6" fillId="6" borderId="10" xfId="0" applyFont="1" applyFill="1" applyBorder="1" applyAlignment="1">
      <alignment vertical="top" wrapText="1"/>
    </xf>
    <xf numFmtId="0" fontId="6" fillId="3" borderId="10" xfId="0" applyFont="1" applyFill="1" applyBorder="1" applyAlignment="1">
      <alignment vertical="top" wrapText="1"/>
    </xf>
    <xf numFmtId="0" fontId="6" fillId="7" borderId="10" xfId="0" applyFont="1" applyFill="1" applyBorder="1" applyAlignment="1">
      <alignment vertical="top" wrapText="1"/>
    </xf>
    <xf numFmtId="0" fontId="6" fillId="8" borderId="10" xfId="0" applyFont="1" applyFill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6" fillId="9" borderId="10" xfId="0" applyFont="1" applyFill="1" applyBorder="1" applyAlignment="1">
      <alignment vertical="top" wrapText="1"/>
    </xf>
    <xf numFmtId="0" fontId="6" fillId="10" borderId="10" xfId="0" applyFont="1" applyFill="1" applyBorder="1" applyAlignment="1">
      <alignment vertical="top" wrapText="1"/>
    </xf>
    <xf numFmtId="0" fontId="6" fillId="7" borderId="11" xfId="0" applyFont="1" applyFill="1" applyBorder="1" applyAlignment="1">
      <alignment vertical="top"/>
    </xf>
    <xf numFmtId="0" fontId="6" fillId="8" borderId="12" xfId="0" applyFont="1" applyFill="1" applyBorder="1" applyAlignment="1">
      <alignment vertical="top"/>
    </xf>
    <xf numFmtId="0" fontId="6" fillId="11" borderId="12" xfId="0" applyFont="1" applyFill="1" applyBorder="1" applyAlignment="1">
      <alignment vertical="top"/>
    </xf>
    <xf numFmtId="0" fontId="6" fillId="0" borderId="10" xfId="0" applyFont="1" applyBorder="1" applyAlignment="1">
      <alignment vertical="top"/>
    </xf>
    <xf numFmtId="164" fontId="6" fillId="0" borderId="10" xfId="0" applyNumberFormat="1" applyFont="1" applyBorder="1" applyAlignment="1">
      <alignment vertical="top"/>
    </xf>
    <xf numFmtId="0" fontId="6" fillId="0" borderId="10" xfId="0" applyFont="1" applyBorder="1" applyAlignment="1">
      <alignment horizontal="right" vertical="top"/>
    </xf>
    <xf numFmtId="166" fontId="6" fillId="0" borderId="10" xfId="0" applyNumberFormat="1" applyFont="1" applyBorder="1" applyAlignment="1">
      <alignment horizontal="right" vertical="top"/>
    </xf>
    <xf numFmtId="0" fontId="6" fillId="0" borderId="29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166" fontId="6" fillId="0" borderId="29" xfId="0" applyNumberFormat="1" applyFont="1" applyBorder="1" applyAlignment="1">
      <alignment vertical="top"/>
    </xf>
    <xf numFmtId="166" fontId="6" fillId="0" borderId="30" xfId="0" applyNumberFormat="1" applyFont="1" applyBorder="1" applyAlignment="1">
      <alignment vertical="top"/>
    </xf>
    <xf numFmtId="0" fontId="12" fillId="3" borderId="1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vertical="top" wrapText="1"/>
    </xf>
    <xf numFmtId="0" fontId="12" fillId="3" borderId="12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vertical="top" wrapText="1"/>
    </xf>
    <xf numFmtId="0" fontId="13" fillId="15" borderId="0" xfId="0" applyFont="1" applyFill="1"/>
    <xf numFmtId="0" fontId="6" fillId="17" borderId="10" xfId="0" applyFont="1" applyFill="1" applyBorder="1" applyAlignment="1">
      <alignment vertical="top" wrapText="1"/>
    </xf>
    <xf numFmtId="0" fontId="6" fillId="16" borderId="10" xfId="0" applyFont="1" applyFill="1" applyBorder="1" applyAlignment="1">
      <alignment vertical="top" wrapText="1"/>
    </xf>
    <xf numFmtId="164" fontId="6" fillId="0" borderId="29" xfId="0" applyNumberFormat="1" applyFont="1" applyBorder="1" applyAlignment="1">
      <alignment vertical="top" wrapText="1"/>
    </xf>
    <xf numFmtId="164" fontId="6" fillId="0" borderId="30" xfId="0" applyNumberFormat="1" applyFont="1" applyBorder="1" applyAlignment="1">
      <alignment vertical="top" wrapText="1"/>
    </xf>
    <xf numFmtId="0" fontId="6" fillId="0" borderId="29" xfId="0" applyFont="1" applyBorder="1" applyAlignment="1">
      <alignment horizontal="right" vertical="top" wrapText="1"/>
    </xf>
    <xf numFmtId="0" fontId="6" fillId="0" borderId="30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14" fillId="18" borderId="10" xfId="0" applyFont="1" applyFill="1" applyBorder="1"/>
    <xf numFmtId="0" fontId="14" fillId="18" borderId="10" xfId="0" applyFont="1" applyFill="1" applyBorder="1" applyAlignment="1">
      <alignment wrapText="1"/>
    </xf>
    <xf numFmtId="0" fontId="4" fillId="21" borderId="10" xfId="0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vertical="top" wrapText="1"/>
    </xf>
    <xf numFmtId="0" fontId="17" fillId="22" borderId="11" xfId="0" applyFont="1" applyFill="1" applyBorder="1" applyAlignment="1">
      <alignment vertical="top" wrapText="1"/>
    </xf>
    <xf numFmtId="0" fontId="17" fillId="22" borderId="12" xfId="0" applyFont="1" applyFill="1" applyBorder="1" applyAlignment="1">
      <alignment vertical="top" wrapText="1"/>
    </xf>
    <xf numFmtId="0" fontId="4" fillId="21" borderId="10" xfId="0" applyFont="1" applyFill="1" applyBorder="1" applyAlignment="1">
      <alignment horizontal="center"/>
    </xf>
    <xf numFmtId="0" fontId="6" fillId="0" borderId="10" xfId="0" applyFont="1" applyBorder="1"/>
    <xf numFmtId="0" fontId="6" fillId="24" borderId="10" xfId="0" applyFont="1" applyFill="1" applyBorder="1"/>
    <xf numFmtId="0" fontId="18" fillId="21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top" wrapText="1"/>
    </xf>
    <xf numFmtId="0" fontId="17" fillId="25" borderId="12" xfId="0" applyFont="1" applyFill="1" applyBorder="1" applyAlignment="1">
      <alignment vertical="top" wrapText="1"/>
    </xf>
    <xf numFmtId="166" fontId="17" fillId="25" borderId="11" xfId="0" applyNumberFormat="1" applyFont="1" applyFill="1" applyBorder="1" applyAlignment="1">
      <alignment vertical="top" wrapText="1"/>
    </xf>
    <xf numFmtId="166" fontId="17" fillId="0" borderId="12" xfId="0" applyNumberFormat="1" applyFont="1" applyBorder="1" applyAlignment="1">
      <alignment vertical="top" wrapText="1"/>
    </xf>
    <xf numFmtId="166" fontId="17" fillId="25" borderId="12" xfId="0" applyNumberFormat="1" applyFont="1" applyFill="1" applyBorder="1" applyAlignment="1">
      <alignment vertical="top" wrapText="1"/>
    </xf>
    <xf numFmtId="166" fontId="6" fillId="0" borderId="10" xfId="0" applyNumberFormat="1" applyFont="1" applyBorder="1"/>
    <xf numFmtId="3" fontId="17" fillId="25" borderId="11" xfId="0" applyNumberFormat="1" applyFont="1" applyFill="1" applyBorder="1" applyAlignment="1">
      <alignment vertical="top" wrapText="1"/>
    </xf>
    <xf numFmtId="3" fontId="17" fillId="0" borderId="12" xfId="0" applyNumberFormat="1" applyFont="1" applyBorder="1" applyAlignment="1">
      <alignment vertical="top" wrapText="1"/>
    </xf>
    <xf numFmtId="3" fontId="17" fillId="25" borderId="12" xfId="0" applyNumberFormat="1" applyFont="1" applyFill="1" applyBorder="1" applyAlignment="1">
      <alignment vertical="top" wrapText="1"/>
    </xf>
    <xf numFmtId="165" fontId="6" fillId="26" borderId="10" xfId="0" applyNumberFormat="1" applyFont="1" applyFill="1" applyBorder="1" applyAlignment="1">
      <alignment horizontal="right" vertical="top"/>
    </xf>
    <xf numFmtId="165" fontId="6" fillId="27" borderId="10" xfId="0" applyNumberFormat="1" applyFont="1" applyFill="1" applyBorder="1" applyAlignment="1">
      <alignment horizontal="right" vertical="top"/>
    </xf>
    <xf numFmtId="165" fontId="6" fillId="28" borderId="10" xfId="0" applyNumberFormat="1" applyFont="1" applyFill="1" applyBorder="1" applyAlignment="1">
      <alignment horizontal="right" vertical="top"/>
    </xf>
    <xf numFmtId="166" fontId="6" fillId="28" borderId="10" xfId="0" applyNumberFormat="1" applyFont="1" applyFill="1" applyBorder="1" applyAlignment="1">
      <alignment horizontal="right" vertical="top"/>
    </xf>
    <xf numFmtId="166" fontId="6" fillId="27" borderId="10" xfId="0" applyNumberFormat="1" applyFont="1" applyFill="1" applyBorder="1" applyAlignment="1">
      <alignment horizontal="right" vertical="top"/>
    </xf>
    <xf numFmtId="166" fontId="6" fillId="26" borderId="10" xfId="0" applyNumberFormat="1" applyFont="1" applyFill="1" applyBorder="1" applyAlignment="1">
      <alignment horizontal="right" vertical="top"/>
    </xf>
    <xf numFmtId="165" fontId="6" fillId="26" borderId="11" xfId="0" applyNumberFormat="1" applyFont="1" applyFill="1" applyBorder="1" applyAlignment="1">
      <alignment horizontal="right" vertical="top" wrapText="1"/>
    </xf>
    <xf numFmtId="165" fontId="6" fillId="27" borderId="11" xfId="0" applyNumberFormat="1" applyFont="1" applyFill="1" applyBorder="1" applyAlignment="1">
      <alignment horizontal="right" vertical="top" wrapText="1"/>
    </xf>
    <xf numFmtId="166" fontId="6" fillId="28" borderId="12" xfId="0" applyNumberFormat="1" applyFont="1" applyFill="1" applyBorder="1" applyAlignment="1">
      <alignment horizontal="right" vertical="top" wrapText="1"/>
    </xf>
    <xf numFmtId="166" fontId="6" fillId="27" borderId="12" xfId="0" applyNumberFormat="1" applyFont="1" applyFill="1" applyBorder="1" applyAlignment="1">
      <alignment horizontal="right" vertical="top" wrapText="1"/>
    </xf>
    <xf numFmtId="165" fontId="6" fillId="26" borderId="12" xfId="0" applyNumberFormat="1" applyFont="1" applyFill="1" applyBorder="1" applyAlignment="1">
      <alignment horizontal="right" vertical="top" wrapText="1"/>
    </xf>
    <xf numFmtId="166" fontId="6" fillId="26" borderId="12" xfId="0" applyNumberFormat="1" applyFont="1" applyFill="1" applyBorder="1" applyAlignment="1">
      <alignment horizontal="right" vertical="top" wrapText="1"/>
    </xf>
    <xf numFmtId="165" fontId="6" fillId="28" borderId="12" xfId="0" applyNumberFormat="1" applyFont="1" applyFill="1" applyBorder="1" applyAlignment="1">
      <alignment horizontal="right" vertical="top" wrapText="1"/>
    </xf>
    <xf numFmtId="165" fontId="6" fillId="27" borderId="12" xfId="0" applyNumberFormat="1" applyFont="1" applyFill="1" applyBorder="1" applyAlignment="1">
      <alignment horizontal="right" vertical="top" wrapText="1"/>
    </xf>
    <xf numFmtId="166" fontId="6" fillId="0" borderId="11" xfId="0" applyNumberFormat="1" applyFont="1" applyBorder="1" applyAlignment="1">
      <alignment horizontal="right" vertical="top" wrapText="1"/>
    </xf>
    <xf numFmtId="166" fontId="6" fillId="0" borderId="12" xfId="0" applyNumberFormat="1" applyFont="1" applyBorder="1" applyAlignment="1">
      <alignment horizontal="right" vertical="top" wrapText="1"/>
    </xf>
    <xf numFmtId="0" fontId="6" fillId="10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5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1" fillId="14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7" xfId="0" applyFont="1" applyBorder="1"/>
    <xf numFmtId="0" fontId="2" fillId="0" borderId="28" xfId="0" applyFont="1" applyBorder="1"/>
    <xf numFmtId="0" fontId="4" fillId="12" borderId="1" xfId="0" applyFont="1" applyFill="1" applyBorder="1" applyAlignment="1">
      <alignment horizontal="center" vertical="center"/>
    </xf>
    <xf numFmtId="166" fontId="10" fillId="14" borderId="17" xfId="0" applyNumberFormat="1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5" xfId="0" applyFont="1" applyBorder="1"/>
    <xf numFmtId="0" fontId="2" fillId="0" borderId="26" xfId="0" applyFont="1" applyBorder="1"/>
    <xf numFmtId="0" fontId="8" fillId="14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21" xfId="0" applyFont="1" applyBorder="1"/>
    <xf numFmtId="0" fontId="2" fillId="0" borderId="22" xfId="0" applyFont="1" applyBorder="1"/>
    <xf numFmtId="0" fontId="6" fillId="8" borderId="1" xfId="0" applyFont="1" applyFill="1" applyBorder="1" applyAlignment="1">
      <alignment vertical="center" wrapText="1"/>
    </xf>
    <xf numFmtId="0" fontId="16" fillId="20" borderId="0" xfId="0" applyFont="1" applyFill="1" applyAlignment="1">
      <alignment vertical="center" wrapText="1"/>
    </xf>
    <xf numFmtId="0" fontId="15" fillId="19" borderId="0" xfId="0" applyFont="1" applyFill="1" applyAlignment="1">
      <alignment vertical="center"/>
    </xf>
    <xf numFmtId="0" fontId="4" fillId="23" borderId="0" xfId="0" applyFont="1" applyFill="1"/>
  </cellXfs>
  <cellStyles count="1">
    <cellStyle name="Normal" xfId="0" builtinId="0"/>
  </cellStyles>
  <dxfs count="15"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666666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>
                <a:solidFill>
                  <a:srgbClr val="757575"/>
                </a:solidFill>
                <a:latin typeface="+mn-lt"/>
                <a:ea typeface="+mn-lt"/>
                <a:cs typeface="+mn-lt"/>
              </a:rPr>
              <a:t>Rata-rata Capaian per Tingkat ToC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Rata-rata Capaian</c:v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Input</c:v>
                </c:pt>
                <c:pt idx="1">
                  <c:v>Activity</c:v>
                </c:pt>
                <c:pt idx="2">
                  <c:v>Output</c:v>
                </c:pt>
                <c:pt idx="3">
                  <c:v>Outcome</c:v>
                </c:pt>
                <c:pt idx="4">
                  <c:v>Impact</c:v>
                </c:pt>
              </c:strCache>
            </c:strRef>
          </c:cat>
          <c:val>
            <c:numRef>
              <c:f>Dashboard!$B$16:$B$20</c:f>
              <c:numCache>
                <c:formatCode>0.0%</c:formatCode>
                <c:ptCount val="5"/>
                <c:pt idx="0">
                  <c:v>0.76480820105820102</c:v>
                </c:pt>
                <c:pt idx="1">
                  <c:v>0.73177083333333337</c:v>
                </c:pt>
                <c:pt idx="2">
                  <c:v>0.81578947368421051</c:v>
                </c:pt>
                <c:pt idx="3">
                  <c:v>0.76275326797385634</c:v>
                </c:pt>
                <c:pt idx="4">
                  <c:v>0.60406746031746039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CDF-4421-9311-09497CA01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001497"/>
        <c:axId val="1494387268"/>
      </c:barChart>
      <c:catAx>
        <c:axId val="13150014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sz="7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494387268"/>
        <c:crosses val="autoZero"/>
        <c:auto val="1"/>
        <c:lblAlgn val="ctr"/>
        <c:lblOffset val="100"/>
        <c:noMultiLvlLbl val="0"/>
      </c:catAx>
      <c:valAx>
        <c:axId val="149438726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3150014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8534400" cy="39624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oCTable" displayName="TrackerToCTable" ref="A7:W78">
  <tableColumns count="23">
    <tableColumn id="1" xr3:uid="{00000000-0010-0000-0000-000001000000}" name="ID"/>
    <tableColumn id="2" xr3:uid="{00000000-0010-0000-0000-000002000000}" name="Periode"/>
    <tableColumn id="3" xr3:uid="{00000000-0010-0000-0000-000003000000}" name="Kode"/>
    <tableColumn id="4" xr3:uid="{00000000-0010-0000-0000-000004000000}" name="Program"/>
    <tableColumn id="5" xr3:uid="{00000000-0010-0000-0000-000005000000}" name="Tingkat ToC"/>
    <tableColumn id="6" xr3:uid="{00000000-0010-0000-0000-000006000000}" name="Pernyataan Hasil/Kegiatan"/>
    <tableColumn id="7" xr3:uid="{00000000-0010-0000-0000-000007000000}" name="Indikator"/>
    <tableColumn id="8" xr3:uid="{00000000-0010-0000-0000-000008000000}" name="Definisi Operasional"/>
    <tableColumn id="9" xr3:uid="{00000000-0010-0000-0000-000009000000}" name="Baseline"/>
    <tableColumn id="10" xr3:uid="{00000000-0010-0000-0000-00000A000000}" name="Target"/>
    <tableColumn id="11" xr3:uid="{00000000-0010-0000-0000-00000B000000}" name="Realisasi"/>
    <tableColumn id="12" xr3:uid="{00000000-0010-0000-0000-00000C000000}" name="Satuan"/>
    <tableColumn id="13" xr3:uid="{00000000-0010-0000-0000-00000D000000}" name="% Capaian"/>
    <tableColumn id="14" xr3:uid="{00000000-0010-0000-0000-00000E000000}" name="Status"/>
    <tableColumn id="15" xr3:uid="{00000000-0010-0000-0000-00000F000000}" name="Bukti/Sumber"/>
    <tableColumn id="16" xr3:uid="{00000000-0010-0000-0000-000010000000}" name="Frekuensi"/>
    <tableColumn id="17" xr3:uid="{00000000-0010-0000-0000-000011000000}" name="PIC"/>
    <tableColumn id="18" xr3:uid="{00000000-0010-0000-0000-000012000000}" name="Tindak Lanjut Mentoring"/>
    <tableColumn id="19" xr3:uid="{00000000-0010-0000-0000-000013000000}" name="Sumber Baseline"/>
    <tableColumn id="20" xr3:uid="{00000000-0010-0000-0000-000014000000}" name="Sumber Target"/>
    <tableColumn id="21" xr3:uid="{00000000-0010-0000-0000-000015000000}" name="Sumber Realisasi"/>
    <tableColumn id="22" xr3:uid="{00000000-0010-0000-0000-000016000000}" name="Kualitas Data"/>
    <tableColumn id="23" xr3:uid="{00000000-0010-0000-0000-000017000000}" name="Catatan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umberTable" displayName="DataSumberTable" ref="A5:I35">
  <tableColumns count="9">
    <tableColumn id="1" xr3:uid="{00000000-0010-0000-0100-000001000000}" name="No."/>
    <tableColumn id="2" xr3:uid="{00000000-0010-0000-0100-000002000000}" name="Berkas"/>
    <tableColumn id="3" xr3:uid="{00000000-0010-0000-0100-000003000000}" name="Kode"/>
    <tableColumn id="4" xr3:uid="{00000000-0010-0000-0100-000004000000}" name="Program"/>
    <tableColumn id="5" xr3:uid="{00000000-0010-0000-0100-000005000000}" name="Kategori"/>
    <tableColumn id="6" xr3:uid="{00000000-0010-0000-0100-000006000000}" name="Pernyataan Sumber (ringkas)"/>
    <tableColumn id="7" xr3:uid="{00000000-0010-0000-0100-000007000000}" name="Nilai"/>
    <tableColumn id="8" xr3:uid="{00000000-0010-0000-0100-000008000000}" name="Satuan"/>
    <tableColumn id="9" xr3:uid="{00000000-0010-0000-0100-000009000000}" name="Catatan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tabSelected="1" workbookViewId="0">
      <selection sqref="A1:H1"/>
    </sheetView>
  </sheetViews>
  <sheetFormatPr defaultColWidth="12.6640625" defaultRowHeight="14"/>
  <cols>
    <col min="1" max="1" width="24" customWidth="1"/>
    <col min="2" max="2" width="58" customWidth="1"/>
    <col min="3" max="3" width="4" customWidth="1"/>
    <col min="4" max="4" width="24" customWidth="1"/>
    <col min="5" max="5" width="34" customWidth="1"/>
    <col min="6" max="7" width="30" customWidth="1"/>
    <col min="8" max="8" width="24" customWidth="1"/>
    <col min="9" max="26" width="8.6640625" customWidth="1"/>
  </cols>
  <sheetData>
    <row r="1" spans="1:8" ht="30" customHeight="1">
      <c r="A1" s="71" t="s">
        <v>0</v>
      </c>
      <c r="B1" s="69"/>
      <c r="C1" s="69"/>
      <c r="D1" s="69"/>
      <c r="E1" s="69"/>
      <c r="F1" s="69"/>
      <c r="G1" s="69"/>
      <c r="H1" s="70"/>
    </row>
    <row r="2" spans="1:8" ht="31.5" customHeight="1">
      <c r="A2" s="72" t="s">
        <v>1</v>
      </c>
      <c r="B2" s="73" t="s">
        <v>1</v>
      </c>
      <c r="C2" s="73" t="s">
        <v>1</v>
      </c>
      <c r="D2" s="73" t="s">
        <v>1</v>
      </c>
      <c r="E2" s="73" t="s">
        <v>1</v>
      </c>
      <c r="F2" s="73" t="s">
        <v>1</v>
      </c>
      <c r="G2" s="73" t="s">
        <v>1</v>
      </c>
      <c r="H2" s="74" t="s">
        <v>1</v>
      </c>
    </row>
    <row r="3" spans="1:8" ht="31.5" customHeight="1">
      <c r="A3" s="75" t="s">
        <v>1</v>
      </c>
      <c r="B3" s="76" t="s">
        <v>1</v>
      </c>
      <c r="C3" s="76" t="s">
        <v>1</v>
      </c>
      <c r="D3" s="76" t="s">
        <v>1</v>
      </c>
      <c r="E3" s="76" t="s">
        <v>1</v>
      </c>
      <c r="F3" s="76" t="s">
        <v>1</v>
      </c>
      <c r="G3" s="76" t="s">
        <v>1</v>
      </c>
      <c r="H3" s="77" t="s">
        <v>1</v>
      </c>
    </row>
    <row r="4" spans="1:8" ht="13.5" customHeight="1"/>
    <row r="5" spans="1:8" ht="13.5" customHeight="1">
      <c r="A5" s="78" t="s">
        <v>2</v>
      </c>
      <c r="B5" s="69"/>
      <c r="C5" s="69"/>
      <c r="D5" s="69"/>
      <c r="E5" s="69"/>
      <c r="F5" s="69"/>
      <c r="G5" s="69"/>
      <c r="H5" s="70"/>
    </row>
    <row r="6" spans="1:8" ht="13.5" customHeight="1">
      <c r="A6" s="1" t="s">
        <v>3</v>
      </c>
      <c r="B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8" ht="39.75" customHeight="1">
      <c r="A7" s="2" t="s">
        <v>10</v>
      </c>
      <c r="B7" s="7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</row>
    <row r="8" spans="1:8" ht="39.75" customHeight="1">
      <c r="A8" s="2" t="s">
        <v>17</v>
      </c>
      <c r="B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</row>
    <row r="9" spans="1:8" ht="39.75" customHeight="1">
      <c r="A9" s="2" t="s">
        <v>24</v>
      </c>
      <c r="B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</row>
    <row r="10" spans="1:8" ht="39.75" customHeight="1">
      <c r="A10" s="2" t="s">
        <v>31</v>
      </c>
      <c r="B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</row>
    <row r="11" spans="1:8" ht="39.75" customHeight="1">
      <c r="A11" s="2" t="s">
        <v>38</v>
      </c>
      <c r="B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2" t="s">
        <v>44</v>
      </c>
    </row>
    <row r="12" spans="1:8" ht="39.75" customHeight="1"/>
    <row r="13" spans="1:8" ht="39.75" customHeight="1">
      <c r="A13" s="78" t="s">
        <v>45</v>
      </c>
      <c r="B13" s="69"/>
      <c r="C13" s="69"/>
      <c r="D13" s="69"/>
      <c r="E13" s="69"/>
      <c r="F13" s="69"/>
      <c r="G13" s="69"/>
      <c r="H13" s="70"/>
    </row>
    <row r="14" spans="1:8" ht="39.75" customHeight="1">
      <c r="A14" s="1" t="s">
        <v>46</v>
      </c>
      <c r="B14" s="1" t="s">
        <v>47</v>
      </c>
      <c r="D14" s="68" t="s">
        <v>48</v>
      </c>
      <c r="E14" s="69"/>
      <c r="F14" s="69"/>
      <c r="G14" s="69"/>
      <c r="H14" s="70"/>
    </row>
    <row r="15" spans="1:8" ht="39.75" customHeight="1">
      <c r="A15" s="10" t="s">
        <v>49</v>
      </c>
      <c r="B15" s="10" t="s">
        <v>50</v>
      </c>
      <c r="D15" s="68" t="s">
        <v>51</v>
      </c>
      <c r="E15" s="69"/>
      <c r="F15" s="69"/>
      <c r="G15" s="69"/>
      <c r="H15" s="70"/>
    </row>
    <row r="16" spans="1:8" ht="39.75" customHeight="1">
      <c r="A16" s="11" t="s">
        <v>52</v>
      </c>
      <c r="B16" s="11" t="s">
        <v>53</v>
      </c>
      <c r="D16" s="68" t="s">
        <v>54</v>
      </c>
      <c r="E16" s="69"/>
      <c r="F16" s="69"/>
      <c r="G16" s="69"/>
      <c r="H16" s="70"/>
    </row>
    <row r="17" spans="1:8" ht="39.75" customHeight="1">
      <c r="A17" s="12" t="s">
        <v>55</v>
      </c>
      <c r="B17" s="12" t="s">
        <v>56</v>
      </c>
      <c r="D17" s="68" t="s">
        <v>57</v>
      </c>
      <c r="E17" s="69"/>
      <c r="F17" s="69"/>
      <c r="G17" s="69"/>
      <c r="H17" s="70"/>
    </row>
    <row r="18" spans="1:8" ht="39.75" customHeight="1">
      <c r="A18" s="34" t="s">
        <v>58</v>
      </c>
      <c r="B18" s="34" t="s">
        <v>59</v>
      </c>
      <c r="D18" s="68" t="s">
        <v>60</v>
      </c>
      <c r="E18" s="69"/>
      <c r="F18" s="69"/>
      <c r="G18" s="69"/>
      <c r="H18" s="70"/>
    </row>
    <row r="19" spans="1:8" ht="13.5" customHeight="1"/>
    <row r="20" spans="1:8" ht="13.5" customHeight="1"/>
    <row r="21" spans="1:8" ht="13.5" customHeight="1"/>
    <row r="22" spans="1:8" ht="13.5" customHeight="1"/>
    <row r="23" spans="1:8" ht="13.5" customHeight="1"/>
    <row r="24" spans="1:8" ht="13.5" customHeight="1"/>
    <row r="25" spans="1:8" ht="13.5" customHeight="1"/>
    <row r="26" spans="1:8" ht="13.5" customHeight="1"/>
    <row r="27" spans="1:8" ht="13.5" customHeight="1"/>
    <row r="28" spans="1:8" ht="13.5" customHeight="1"/>
    <row r="29" spans="1:8" ht="13.5" customHeight="1"/>
    <row r="30" spans="1:8" ht="13.5" customHeight="1"/>
    <row r="31" spans="1:8" ht="13.5" customHeight="1"/>
    <row r="32" spans="1: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D17:H17"/>
    <mergeCell ref="D18:H18"/>
    <mergeCell ref="A1:H1"/>
    <mergeCell ref="A2:H3"/>
    <mergeCell ref="A5:H5"/>
    <mergeCell ref="A13:H13"/>
    <mergeCell ref="D14:H14"/>
    <mergeCell ref="D15:H15"/>
    <mergeCell ref="D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workbookViewId="0"/>
  </sheetViews>
  <sheetFormatPr defaultColWidth="12.6640625" defaultRowHeight="14"/>
  <cols>
    <col min="1" max="1" width="18" customWidth="1"/>
    <col min="2" max="2" width="35" customWidth="1"/>
    <col min="3" max="3" width="4" customWidth="1"/>
    <col min="4" max="11" width="14" customWidth="1"/>
    <col min="12" max="26" width="8.6640625" customWidth="1"/>
  </cols>
  <sheetData>
    <row r="1" spans="1:11" ht="30" customHeight="1">
      <c r="A1" s="71" t="s">
        <v>382</v>
      </c>
      <c r="B1" s="69"/>
      <c r="C1" s="69"/>
      <c r="D1" s="69"/>
      <c r="E1" s="69"/>
      <c r="F1" s="69"/>
      <c r="G1" s="69"/>
      <c r="H1" s="69"/>
      <c r="I1" s="69"/>
      <c r="J1" s="69"/>
      <c r="K1" s="70"/>
    </row>
    <row r="2" spans="1:11" ht="31.5" customHeight="1">
      <c r="A2" s="79" t="s">
        <v>61</v>
      </c>
      <c r="B2" s="69" t="s">
        <v>61</v>
      </c>
      <c r="C2" s="69" t="s">
        <v>61</v>
      </c>
      <c r="D2" s="69" t="s">
        <v>61</v>
      </c>
      <c r="E2" s="69" t="s">
        <v>61</v>
      </c>
      <c r="F2" s="69" t="s">
        <v>61</v>
      </c>
      <c r="G2" s="69" t="s">
        <v>61</v>
      </c>
      <c r="H2" s="69" t="s">
        <v>61</v>
      </c>
      <c r="I2" s="69" t="s">
        <v>61</v>
      </c>
      <c r="J2" s="69" t="s">
        <v>61</v>
      </c>
      <c r="K2" s="70" t="s">
        <v>61</v>
      </c>
    </row>
    <row r="3" spans="1:11" ht="13.5" customHeight="1"/>
    <row r="4" spans="1:11" ht="27.75" customHeight="1">
      <c r="A4" s="80" t="s">
        <v>62</v>
      </c>
      <c r="B4" s="70"/>
      <c r="D4" s="81" t="s">
        <v>63</v>
      </c>
      <c r="E4" s="70"/>
      <c r="G4" s="91" t="s">
        <v>64</v>
      </c>
      <c r="H4" s="70"/>
      <c r="J4" s="82" t="s">
        <v>65</v>
      </c>
      <c r="K4" s="70"/>
    </row>
    <row r="5" spans="1:11" ht="27.75" customHeight="1">
      <c r="A5" s="96">
        <f>COUNTA('Blueprint Program'!A6:A17)</f>
        <v>12</v>
      </c>
      <c r="B5" s="97"/>
      <c r="D5" s="83">
        <f>COUNTA('Tracker ToC'!A8:A78)</f>
        <v>71</v>
      </c>
      <c r="E5" s="84"/>
      <c r="G5" s="92">
        <f>AVERAGE('Tracker ToC'!M8:M78)</f>
        <v>0.74349127444405005</v>
      </c>
      <c r="H5" s="93"/>
      <c r="J5" s="87">
        <f>COUNTIF('Tracker ToC'!V8:V78,"Mengandung Dummy")</f>
        <v>71</v>
      </c>
      <c r="K5" s="88"/>
    </row>
    <row r="6" spans="1:11" ht="27.75" customHeight="1">
      <c r="A6" s="98"/>
      <c r="B6" s="99"/>
      <c r="D6" s="85"/>
      <c r="E6" s="86"/>
      <c r="G6" s="94"/>
      <c r="H6" s="95"/>
      <c r="J6" s="89"/>
      <c r="K6" s="90"/>
    </row>
    <row r="7" spans="1:11" ht="13.5" customHeight="1"/>
    <row r="8" spans="1:11" ht="13.5" customHeight="1">
      <c r="A8" s="78" t="s">
        <v>66</v>
      </c>
      <c r="B8" s="70"/>
      <c r="D8" s="78" t="s">
        <v>67</v>
      </c>
      <c r="E8" s="70"/>
    </row>
    <row r="9" spans="1:11" ht="13.5" customHeight="1">
      <c r="A9" s="1" t="s">
        <v>46</v>
      </c>
      <c r="B9" s="1" t="s">
        <v>68</v>
      </c>
      <c r="D9" s="1" t="s">
        <v>69</v>
      </c>
      <c r="E9" s="1" t="s">
        <v>68</v>
      </c>
    </row>
    <row r="10" spans="1:11" ht="13.5" customHeight="1">
      <c r="A10" s="10" t="s">
        <v>49</v>
      </c>
      <c r="B10" s="10">
        <f>COUNTIF('Tracker ToC'!N8:N78,"Tercapai")</f>
        <v>18</v>
      </c>
      <c r="D10" s="17" t="s">
        <v>70</v>
      </c>
      <c r="E10" s="17">
        <f>COUNTIF('Tracker ToC'!U8:U78,"Laporan")</f>
        <v>16</v>
      </c>
    </row>
    <row r="11" spans="1:11" ht="13.5" customHeight="1">
      <c r="A11" s="11" t="s">
        <v>52</v>
      </c>
      <c r="B11" s="11">
        <f>COUNTIF('Tracker ToC'!N8:N78,"In Progress")</f>
        <v>17</v>
      </c>
      <c r="D11" s="18" t="s">
        <v>71</v>
      </c>
      <c r="E11" s="18">
        <f>COUNTIF('Tracker ToC'!U8:U78,"Turunan")</f>
        <v>1</v>
      </c>
    </row>
    <row r="12" spans="1:11" ht="13.5" customHeight="1">
      <c r="A12" s="12" t="s">
        <v>55</v>
      </c>
      <c r="B12" s="12">
        <f>COUNTIF('Tracker ToC'!N8:N78,"Perlu Perhatian")</f>
        <v>36</v>
      </c>
      <c r="D12" s="18" t="s">
        <v>72</v>
      </c>
      <c r="E12" s="18">
        <f>COUNTIF('Tracker ToC'!U8:U78,"Dummy")</f>
        <v>54</v>
      </c>
    </row>
    <row r="13" spans="1:11" ht="13.5" customHeight="1">
      <c r="A13" s="33" t="s">
        <v>58</v>
      </c>
      <c r="B13" s="33">
        <f>COUNTIF('Tracker ToC'!N8:N78,"Belum Ada Data")</f>
        <v>0</v>
      </c>
    </row>
    <row r="14" spans="1:11" ht="13.5" customHeight="1"/>
    <row r="15" spans="1:11" ht="13.5" customHeight="1">
      <c r="A15" s="1" t="s">
        <v>73</v>
      </c>
      <c r="B15" s="1" t="s">
        <v>64</v>
      </c>
    </row>
    <row r="16" spans="1:11" ht="13.5" customHeight="1">
      <c r="A16" s="17" t="s">
        <v>74</v>
      </c>
      <c r="B16" s="19">
        <f>IFERROR(AVERAGEIF('Tracker ToC'!E8:E78,A16,'Tracker ToC'!M8:M78),0)</f>
        <v>0.76480820105820102</v>
      </c>
    </row>
    <row r="17" spans="1:2" ht="13.5" customHeight="1">
      <c r="A17" s="18" t="s">
        <v>75</v>
      </c>
      <c r="B17" s="20">
        <f>IFERROR(AVERAGEIF('Tracker ToC'!E9:E79,A17,'Tracker ToC'!M9:M79),0)</f>
        <v>0.73177083333333337</v>
      </c>
    </row>
    <row r="18" spans="1:2" ht="13.5" customHeight="1">
      <c r="A18" s="18" t="s">
        <v>76</v>
      </c>
      <c r="B18" s="20">
        <f>IFERROR(AVERAGEIF('Tracker ToC'!E10:E80,A18,'Tracker ToC'!M10:M80),0)</f>
        <v>0.81578947368421051</v>
      </c>
    </row>
    <row r="19" spans="1:2" ht="13.5" customHeight="1">
      <c r="A19" s="18" t="s">
        <v>77</v>
      </c>
      <c r="B19" s="20">
        <f>IFERROR(AVERAGEIF('Tracker ToC'!E11:E81,A19,'Tracker ToC'!M11:M81),0)</f>
        <v>0.76275326797385634</v>
      </c>
    </row>
    <row r="20" spans="1:2" ht="13.5" customHeight="1">
      <c r="A20" s="18" t="s">
        <v>78</v>
      </c>
      <c r="B20" s="20">
        <f>IFERROR(AVERAGEIF('Tracker ToC'!E12:E82,A20,'Tracker ToC'!M12:M82),0)</f>
        <v>0.60406746031746039</v>
      </c>
    </row>
    <row r="21" spans="1:2" ht="13.5" customHeight="1"/>
    <row r="22" spans="1:2" ht="13.5" customHeight="1"/>
    <row r="23" spans="1:2" ht="13.5" customHeight="1">
      <c r="A23" s="78" t="s">
        <v>79</v>
      </c>
      <c r="B23" s="70"/>
    </row>
    <row r="24" spans="1:2" ht="37.5" customHeight="1">
      <c r="A24" s="21" t="s">
        <v>80</v>
      </c>
      <c r="B24" s="22" t="s">
        <v>81</v>
      </c>
    </row>
    <row r="25" spans="1:2" ht="37.5" customHeight="1">
      <c r="A25" s="23" t="s">
        <v>82</v>
      </c>
      <c r="B25" s="24" t="s">
        <v>83</v>
      </c>
    </row>
    <row r="26" spans="1:2" ht="37.5" customHeight="1">
      <c r="A26" s="23" t="s">
        <v>84</v>
      </c>
      <c r="B26" s="24" t="s">
        <v>85</v>
      </c>
    </row>
    <row r="27" spans="1:2" ht="37.5" customHeight="1">
      <c r="A27" s="23" t="s">
        <v>86</v>
      </c>
      <c r="B27" s="24" t="s">
        <v>87</v>
      </c>
    </row>
    <row r="28" spans="1:2" ht="13.5" customHeight="1"/>
    <row r="29" spans="1:2" ht="13.5" customHeight="1"/>
    <row r="30" spans="1:2" ht="13.5" customHeight="1"/>
    <row r="31" spans="1:2" ht="13.5" customHeight="1"/>
    <row r="32" spans="1: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A23:B23"/>
    <mergeCell ref="A1:K1"/>
    <mergeCell ref="A2:K2"/>
    <mergeCell ref="A4:B4"/>
    <mergeCell ref="D4:E4"/>
    <mergeCell ref="J4:K4"/>
    <mergeCell ref="D5:E6"/>
    <mergeCell ref="J5:K6"/>
    <mergeCell ref="G4:H4"/>
    <mergeCell ref="G5:H6"/>
    <mergeCell ref="A5:B6"/>
    <mergeCell ref="A8:B8"/>
    <mergeCell ref="D8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6640625" defaultRowHeight="14"/>
  <cols>
    <col min="1" max="1" width="10" customWidth="1"/>
    <col min="2" max="2" width="12" customWidth="1"/>
    <col min="3" max="3" width="8" customWidth="1"/>
    <col min="4" max="4" width="28" customWidth="1"/>
    <col min="5" max="5" width="12" customWidth="1"/>
    <col min="6" max="6" width="34" customWidth="1"/>
    <col min="7" max="7" width="36" customWidth="1"/>
    <col min="8" max="8" width="42" customWidth="1"/>
    <col min="9" max="11" width="12" customWidth="1"/>
    <col min="12" max="12" width="13" customWidth="1"/>
    <col min="13" max="13" width="12" customWidth="1"/>
    <col min="14" max="14" width="16" customWidth="1"/>
    <col min="15" max="15" width="31" customWidth="1"/>
    <col min="16" max="16" width="14" customWidth="1"/>
    <col min="17" max="17" width="23" customWidth="1"/>
    <col min="18" max="18" width="35" customWidth="1"/>
    <col min="19" max="20" width="16" customWidth="1"/>
    <col min="21" max="21" width="17" customWidth="1"/>
    <col min="22" max="22" width="20" customWidth="1"/>
    <col min="23" max="23" width="38" customWidth="1"/>
    <col min="24" max="26" width="8.6640625" customWidth="1"/>
  </cols>
  <sheetData>
    <row r="1" spans="1:26" ht="31.5" customHeight="1">
      <c r="A1" s="71" t="s">
        <v>88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70"/>
    </row>
    <row r="2" spans="1:26" ht="24" customHeight="1">
      <c r="A2" s="72" t="s">
        <v>89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4"/>
    </row>
    <row r="3" spans="1:26" ht="24" customHeight="1">
      <c r="A3" s="75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6" ht="13.5" customHeight="1"/>
    <row r="5" spans="1:26" ht="13.5" customHeight="1">
      <c r="A5" s="100" t="s">
        <v>90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70"/>
    </row>
    <row r="6" spans="1:26" ht="13.5" customHeight="1"/>
    <row r="7" spans="1:26" ht="60" customHeight="1">
      <c r="A7" s="1" t="s">
        <v>91</v>
      </c>
      <c r="B7" s="1" t="s">
        <v>92</v>
      </c>
      <c r="C7" s="1" t="s">
        <v>93</v>
      </c>
      <c r="D7" s="1" t="s">
        <v>62</v>
      </c>
      <c r="E7" s="1" t="s">
        <v>73</v>
      </c>
      <c r="F7" s="1" t="s">
        <v>94</v>
      </c>
      <c r="G7" s="1" t="s">
        <v>63</v>
      </c>
      <c r="H7" s="1" t="s">
        <v>95</v>
      </c>
      <c r="I7" s="1" t="s">
        <v>96</v>
      </c>
      <c r="J7" s="1" t="s">
        <v>97</v>
      </c>
      <c r="K7" s="1" t="s">
        <v>98</v>
      </c>
      <c r="L7" s="1" t="s">
        <v>99</v>
      </c>
      <c r="M7" s="1" t="s">
        <v>100</v>
      </c>
      <c r="N7" s="1" t="s">
        <v>46</v>
      </c>
      <c r="O7" s="1" t="s">
        <v>101</v>
      </c>
      <c r="P7" s="1" t="s">
        <v>102</v>
      </c>
      <c r="Q7" s="1" t="s">
        <v>103</v>
      </c>
      <c r="R7" s="1" t="s">
        <v>104</v>
      </c>
      <c r="S7" s="1" t="s">
        <v>105</v>
      </c>
      <c r="T7" s="1" t="s">
        <v>106</v>
      </c>
      <c r="U7" s="1" t="s">
        <v>69</v>
      </c>
      <c r="V7" s="1" t="s">
        <v>107</v>
      </c>
      <c r="W7" s="1" t="s">
        <v>108</v>
      </c>
    </row>
    <row r="8" spans="1:26" ht="60" customHeight="1">
      <c r="A8" s="13" t="s">
        <v>383</v>
      </c>
      <c r="B8" s="14">
        <v>46203</v>
      </c>
      <c r="C8" s="13" t="s">
        <v>149</v>
      </c>
      <c r="D8" s="2" t="s">
        <v>150</v>
      </c>
      <c r="E8" s="2" t="s">
        <v>74</v>
      </c>
      <c r="F8" s="2" t="s">
        <v>384</v>
      </c>
      <c r="G8" s="2" t="s">
        <v>385</v>
      </c>
      <c r="H8" s="2" t="s">
        <v>386</v>
      </c>
      <c r="I8" s="53">
        <v>0</v>
      </c>
      <c r="J8" s="52">
        <v>3</v>
      </c>
      <c r="K8" s="53">
        <v>2</v>
      </c>
      <c r="L8" s="15" t="s">
        <v>387</v>
      </c>
      <c r="M8" s="16">
        <f t="shared" ref="M8:M43" si="0">IFERROR(K8/J8,0)</f>
        <v>0.66666666666666663</v>
      </c>
      <c r="N8" s="13" t="str">
        <f t="shared" ref="N8:N43" si="1">IF(K8="","Belum Ada Data",IF(M8&gt;=1,"Tercapai",IF(M8&gt;=0.8,"In Progress","Perlu Perhatian")))</f>
        <v>Perlu Perhatian</v>
      </c>
      <c r="O8" s="2" t="s">
        <v>388</v>
      </c>
      <c r="P8" s="7" t="s">
        <v>389</v>
      </c>
      <c r="Q8" s="2" t="s">
        <v>285</v>
      </c>
      <c r="R8" s="2" t="s">
        <v>390</v>
      </c>
      <c r="S8" s="2" t="s">
        <v>72</v>
      </c>
      <c r="T8" s="2" t="s">
        <v>391</v>
      </c>
      <c r="U8" s="2" t="s">
        <v>72</v>
      </c>
      <c r="V8" s="2" t="str">
        <f t="shared" ref="V8:V43" si="2">IF(OR(S8="Dummy",T8="Dummy",U8="Dummy"),"Mengandung Dummy",IF(OR(S8="Turunan",T8="Turunan",U8="Turunan"),"Turunan Laporan","Laporan"))</f>
        <v>Mengandung Dummy</v>
      </c>
      <c r="W8" s="2"/>
    </row>
    <row r="9" spans="1:26" ht="60" customHeight="1">
      <c r="A9" s="13" t="s">
        <v>392</v>
      </c>
      <c r="B9" s="14">
        <v>46203</v>
      </c>
      <c r="C9" s="13" t="s">
        <v>149</v>
      </c>
      <c r="D9" s="2" t="s">
        <v>150</v>
      </c>
      <c r="E9" s="2" t="s">
        <v>75</v>
      </c>
      <c r="F9" s="2" t="s">
        <v>393</v>
      </c>
      <c r="G9" s="2" t="s">
        <v>394</v>
      </c>
      <c r="H9" s="2" t="s">
        <v>395</v>
      </c>
      <c r="I9" s="56">
        <v>0</v>
      </c>
      <c r="J9" s="55">
        <v>1</v>
      </c>
      <c r="K9" s="56">
        <v>0.75</v>
      </c>
      <c r="L9" s="15" t="s">
        <v>396</v>
      </c>
      <c r="M9" s="16">
        <f t="shared" si="0"/>
        <v>0.75</v>
      </c>
      <c r="N9" s="13" t="str">
        <f t="shared" si="1"/>
        <v>Perlu Perhatian</v>
      </c>
      <c r="O9" s="2" t="s">
        <v>388</v>
      </c>
      <c r="P9" s="2" t="s">
        <v>389</v>
      </c>
      <c r="Q9" s="2" t="s">
        <v>285</v>
      </c>
      <c r="R9" s="2" t="s">
        <v>397</v>
      </c>
      <c r="S9" s="2" t="s">
        <v>72</v>
      </c>
      <c r="T9" s="2" t="s">
        <v>391</v>
      </c>
      <c r="U9" s="2" t="s">
        <v>72</v>
      </c>
      <c r="V9" s="2" t="str">
        <f t="shared" si="2"/>
        <v>Mengandung Dummy</v>
      </c>
      <c r="W9" s="2"/>
    </row>
    <row r="10" spans="1:26" ht="60" customHeight="1">
      <c r="A10" s="13" t="s">
        <v>398</v>
      </c>
      <c r="B10" s="14">
        <v>46203</v>
      </c>
      <c r="C10" s="13" t="s">
        <v>149</v>
      </c>
      <c r="D10" s="2" t="s">
        <v>150</v>
      </c>
      <c r="E10" s="2" t="s">
        <v>76</v>
      </c>
      <c r="F10" s="2" t="s">
        <v>153</v>
      </c>
      <c r="G10" s="2" t="s">
        <v>399</v>
      </c>
      <c r="H10" s="2" t="s">
        <v>400</v>
      </c>
      <c r="I10" s="53">
        <v>0</v>
      </c>
      <c r="J10" s="52">
        <v>3</v>
      </c>
      <c r="K10" s="53">
        <v>2</v>
      </c>
      <c r="L10" s="15" t="s">
        <v>401</v>
      </c>
      <c r="M10" s="16">
        <f t="shared" si="0"/>
        <v>0.66666666666666663</v>
      </c>
      <c r="N10" s="13" t="str">
        <f t="shared" si="1"/>
        <v>Perlu Perhatian</v>
      </c>
      <c r="O10" s="2" t="s">
        <v>388</v>
      </c>
      <c r="P10" s="2" t="s">
        <v>389</v>
      </c>
      <c r="Q10" s="2" t="s">
        <v>285</v>
      </c>
      <c r="R10" s="2" t="s">
        <v>402</v>
      </c>
      <c r="S10" s="2" t="s">
        <v>72</v>
      </c>
      <c r="T10" s="2" t="s">
        <v>391</v>
      </c>
      <c r="U10" s="2" t="s">
        <v>72</v>
      </c>
      <c r="V10" s="2" t="str">
        <f t="shared" si="2"/>
        <v>Mengandung Dummy</v>
      </c>
      <c r="W10" s="2" t="s">
        <v>403</v>
      </c>
    </row>
    <row r="11" spans="1:26" ht="60" customHeight="1">
      <c r="A11" s="13" t="s">
        <v>404</v>
      </c>
      <c r="B11" s="14">
        <v>46203</v>
      </c>
      <c r="C11" s="13" t="s">
        <v>149</v>
      </c>
      <c r="D11" s="2" t="s">
        <v>150</v>
      </c>
      <c r="E11" s="2" t="s">
        <v>77</v>
      </c>
      <c r="F11" s="2" t="s">
        <v>405</v>
      </c>
      <c r="G11" s="2" t="s">
        <v>406</v>
      </c>
      <c r="H11" s="2" t="s">
        <v>407</v>
      </c>
      <c r="I11" s="56">
        <v>0</v>
      </c>
      <c r="J11" s="55">
        <v>1</v>
      </c>
      <c r="K11" s="56">
        <v>0.7</v>
      </c>
      <c r="L11" s="15" t="s">
        <v>408</v>
      </c>
      <c r="M11" s="16">
        <f t="shared" si="0"/>
        <v>0.7</v>
      </c>
      <c r="N11" s="13" t="str">
        <f t="shared" si="1"/>
        <v>Perlu Perhatian</v>
      </c>
      <c r="O11" s="2" t="s">
        <v>388</v>
      </c>
      <c r="P11" s="2" t="s">
        <v>409</v>
      </c>
      <c r="Q11" s="2" t="s">
        <v>285</v>
      </c>
      <c r="R11" s="2" t="s">
        <v>410</v>
      </c>
      <c r="S11" s="2" t="s">
        <v>72</v>
      </c>
      <c r="T11" s="2" t="s">
        <v>391</v>
      </c>
      <c r="U11" s="2" t="s">
        <v>72</v>
      </c>
      <c r="V11" s="2" t="str">
        <f t="shared" si="2"/>
        <v>Mengandung Dummy</v>
      </c>
      <c r="W11" s="2" t="s">
        <v>403</v>
      </c>
    </row>
    <row r="12" spans="1:26" ht="60" customHeight="1">
      <c r="A12" s="13" t="s">
        <v>411</v>
      </c>
      <c r="B12" s="14">
        <v>46203</v>
      </c>
      <c r="C12" s="13" t="s">
        <v>149</v>
      </c>
      <c r="D12" s="2" t="s">
        <v>150</v>
      </c>
      <c r="E12" s="2" t="s">
        <v>78</v>
      </c>
      <c r="F12" s="2" t="s">
        <v>117</v>
      </c>
      <c r="G12" s="2" t="s">
        <v>412</v>
      </c>
      <c r="H12" s="2" t="s">
        <v>413</v>
      </c>
      <c r="I12" s="56">
        <v>0</v>
      </c>
      <c r="J12" s="56">
        <v>0.8</v>
      </c>
      <c r="K12" s="56">
        <v>0.6</v>
      </c>
      <c r="L12" s="15" t="s">
        <v>414</v>
      </c>
      <c r="M12" s="16">
        <f t="shared" si="0"/>
        <v>0.74999999999999989</v>
      </c>
      <c r="N12" s="13" t="str">
        <f t="shared" si="1"/>
        <v>Perlu Perhatian</v>
      </c>
      <c r="O12" s="2" t="s">
        <v>388</v>
      </c>
      <c r="P12" s="2" t="s">
        <v>415</v>
      </c>
      <c r="Q12" s="2" t="s">
        <v>285</v>
      </c>
      <c r="R12" s="2" t="s">
        <v>416</v>
      </c>
      <c r="S12" s="2" t="s">
        <v>72</v>
      </c>
      <c r="T12" s="2" t="s">
        <v>72</v>
      </c>
      <c r="U12" s="2" t="s">
        <v>72</v>
      </c>
      <c r="V12" s="2" t="str">
        <f t="shared" si="2"/>
        <v>Mengandung Dummy</v>
      </c>
      <c r="W12" s="2" t="s">
        <v>417</v>
      </c>
    </row>
    <row r="13" spans="1:26" ht="60" customHeight="1">
      <c r="A13" s="13" t="s">
        <v>418</v>
      </c>
      <c r="B13" s="14">
        <v>46203</v>
      </c>
      <c r="C13" s="13" t="s">
        <v>155</v>
      </c>
      <c r="D13" s="2" t="s">
        <v>156</v>
      </c>
      <c r="E13" s="2" t="s">
        <v>74</v>
      </c>
      <c r="F13" s="2" t="s">
        <v>419</v>
      </c>
      <c r="G13" s="2" t="s">
        <v>420</v>
      </c>
      <c r="H13" s="2" t="s">
        <v>421</v>
      </c>
      <c r="I13" s="53">
        <v>0</v>
      </c>
      <c r="J13" s="53">
        <v>25</v>
      </c>
      <c r="K13" s="53">
        <v>20</v>
      </c>
      <c r="L13" s="15" t="s">
        <v>422</v>
      </c>
      <c r="M13" s="16">
        <f t="shared" si="0"/>
        <v>0.8</v>
      </c>
      <c r="N13" s="13" t="str">
        <f t="shared" si="1"/>
        <v>In Progress</v>
      </c>
      <c r="O13" s="2" t="s">
        <v>423</v>
      </c>
      <c r="P13" s="2" t="s">
        <v>389</v>
      </c>
      <c r="Q13" s="2" t="s">
        <v>292</v>
      </c>
      <c r="R13" s="2" t="s">
        <v>424</v>
      </c>
      <c r="S13" s="2" t="s">
        <v>72</v>
      </c>
      <c r="T13" s="2" t="s">
        <v>72</v>
      </c>
      <c r="U13" s="2" t="s">
        <v>72</v>
      </c>
      <c r="V13" s="2" t="str">
        <f t="shared" si="2"/>
        <v>Mengandung Dummy</v>
      </c>
      <c r="W13" s="2"/>
    </row>
    <row r="14" spans="1:26" ht="60" customHeight="1">
      <c r="A14" s="13" t="s">
        <v>425</v>
      </c>
      <c r="B14" s="14">
        <v>46203</v>
      </c>
      <c r="C14" s="13" t="s">
        <v>155</v>
      </c>
      <c r="D14" s="2" t="s">
        <v>156</v>
      </c>
      <c r="E14" s="2" t="s">
        <v>75</v>
      </c>
      <c r="F14" s="2" t="s">
        <v>426</v>
      </c>
      <c r="G14" s="2" t="s">
        <v>427</v>
      </c>
      <c r="H14" s="2" t="s">
        <v>428</v>
      </c>
      <c r="I14" s="56">
        <v>0</v>
      </c>
      <c r="J14" s="57">
        <v>1</v>
      </c>
      <c r="K14" s="56">
        <v>0.8</v>
      </c>
      <c r="L14" s="15" t="s">
        <v>396</v>
      </c>
      <c r="M14" s="16">
        <f t="shared" si="0"/>
        <v>0.8</v>
      </c>
      <c r="N14" s="13" t="str">
        <f t="shared" si="1"/>
        <v>In Progress</v>
      </c>
      <c r="O14" s="2" t="s">
        <v>423</v>
      </c>
      <c r="P14" s="2" t="s">
        <v>389</v>
      </c>
      <c r="Q14" s="2" t="s">
        <v>292</v>
      </c>
      <c r="R14" s="2" t="s">
        <v>429</v>
      </c>
      <c r="S14" s="2" t="s">
        <v>72</v>
      </c>
      <c r="T14" s="2" t="s">
        <v>391</v>
      </c>
      <c r="U14" s="2" t="s">
        <v>72</v>
      </c>
      <c r="V14" s="2" t="str">
        <f t="shared" si="2"/>
        <v>Mengandung Dummy</v>
      </c>
      <c r="W14" s="2"/>
      <c r="X14" s="25"/>
      <c r="Y14" s="25"/>
      <c r="Z14" s="25"/>
    </row>
    <row r="15" spans="1:26" ht="60" customHeight="1">
      <c r="A15" s="13" t="s">
        <v>430</v>
      </c>
      <c r="B15" s="14">
        <v>46203</v>
      </c>
      <c r="C15" s="13" t="s">
        <v>155</v>
      </c>
      <c r="D15" s="2" t="s">
        <v>156</v>
      </c>
      <c r="E15" s="2" t="s">
        <v>76</v>
      </c>
      <c r="F15" s="2" t="s">
        <v>159</v>
      </c>
      <c r="G15" s="2" t="s">
        <v>431</v>
      </c>
      <c r="H15" s="2" t="s">
        <v>432</v>
      </c>
      <c r="I15" s="53">
        <v>0</v>
      </c>
      <c r="J15" s="54">
        <v>1</v>
      </c>
      <c r="K15" s="53">
        <v>1</v>
      </c>
      <c r="L15" s="15" t="s">
        <v>433</v>
      </c>
      <c r="M15" s="16">
        <f t="shared" si="0"/>
        <v>1</v>
      </c>
      <c r="N15" s="13" t="str">
        <f t="shared" si="1"/>
        <v>Tercapai</v>
      </c>
      <c r="O15" s="2" t="s">
        <v>423</v>
      </c>
      <c r="P15" s="2" t="s">
        <v>389</v>
      </c>
      <c r="Q15" s="2" t="s">
        <v>292</v>
      </c>
      <c r="R15" s="2" t="s">
        <v>434</v>
      </c>
      <c r="S15" s="2" t="s">
        <v>72</v>
      </c>
      <c r="T15" s="2" t="s">
        <v>391</v>
      </c>
      <c r="U15" s="2" t="s">
        <v>72</v>
      </c>
      <c r="V15" s="2" t="str">
        <f t="shared" si="2"/>
        <v>Mengandung Dummy</v>
      </c>
      <c r="W15" s="2" t="s">
        <v>403</v>
      </c>
    </row>
    <row r="16" spans="1:26" ht="60" customHeight="1">
      <c r="A16" s="13" t="s">
        <v>435</v>
      </c>
      <c r="B16" s="14">
        <v>46203</v>
      </c>
      <c r="C16" s="13" t="s">
        <v>155</v>
      </c>
      <c r="D16" s="2" t="s">
        <v>156</v>
      </c>
      <c r="E16" s="2" t="s">
        <v>77</v>
      </c>
      <c r="F16" s="2" t="s">
        <v>360</v>
      </c>
      <c r="G16" s="2" t="s">
        <v>436</v>
      </c>
      <c r="H16" s="2" t="s">
        <v>437</v>
      </c>
      <c r="I16" s="53">
        <v>0</v>
      </c>
      <c r="J16" s="53">
        <v>3</v>
      </c>
      <c r="K16" s="53">
        <v>2</v>
      </c>
      <c r="L16" s="15" t="s">
        <v>438</v>
      </c>
      <c r="M16" s="16">
        <f t="shared" si="0"/>
        <v>0.66666666666666663</v>
      </c>
      <c r="N16" s="13" t="str">
        <f t="shared" si="1"/>
        <v>Perlu Perhatian</v>
      </c>
      <c r="O16" s="2" t="s">
        <v>423</v>
      </c>
      <c r="P16" s="2" t="s">
        <v>409</v>
      </c>
      <c r="Q16" s="2" t="s">
        <v>292</v>
      </c>
      <c r="R16" s="2" t="s">
        <v>439</v>
      </c>
      <c r="S16" s="2" t="s">
        <v>72</v>
      </c>
      <c r="T16" s="2" t="s">
        <v>72</v>
      </c>
      <c r="U16" s="2" t="s">
        <v>72</v>
      </c>
      <c r="V16" s="2" t="str">
        <f t="shared" si="2"/>
        <v>Mengandung Dummy</v>
      </c>
      <c r="W16" s="2" t="s">
        <v>403</v>
      </c>
    </row>
    <row r="17" spans="1:26" ht="60" customHeight="1">
      <c r="A17" s="13" t="s">
        <v>440</v>
      </c>
      <c r="B17" s="14">
        <v>46203</v>
      </c>
      <c r="C17" s="13" t="s">
        <v>155</v>
      </c>
      <c r="D17" s="2" t="s">
        <v>156</v>
      </c>
      <c r="E17" s="2" t="s">
        <v>78</v>
      </c>
      <c r="F17" s="2" t="s">
        <v>117</v>
      </c>
      <c r="G17" s="2" t="s">
        <v>441</v>
      </c>
      <c r="H17" s="2" t="s">
        <v>442</v>
      </c>
      <c r="I17" s="56">
        <v>0</v>
      </c>
      <c r="J17" s="56">
        <v>0.1</v>
      </c>
      <c r="K17" s="56">
        <v>0.04</v>
      </c>
      <c r="L17" s="15" t="s">
        <v>443</v>
      </c>
      <c r="M17" s="16">
        <f t="shared" si="0"/>
        <v>0.39999999999999997</v>
      </c>
      <c r="N17" s="13" t="str">
        <f t="shared" si="1"/>
        <v>Perlu Perhatian</v>
      </c>
      <c r="O17" s="2" t="s">
        <v>423</v>
      </c>
      <c r="P17" s="2" t="s">
        <v>415</v>
      </c>
      <c r="Q17" s="2" t="s">
        <v>292</v>
      </c>
      <c r="R17" s="2" t="s">
        <v>444</v>
      </c>
      <c r="S17" s="2" t="s">
        <v>72</v>
      </c>
      <c r="T17" s="2" t="s">
        <v>72</v>
      </c>
      <c r="U17" s="2" t="s">
        <v>72</v>
      </c>
      <c r="V17" s="2" t="str">
        <f t="shared" si="2"/>
        <v>Mengandung Dummy</v>
      </c>
      <c r="W17" s="2" t="s">
        <v>417</v>
      </c>
    </row>
    <row r="18" spans="1:26" ht="60" customHeight="1">
      <c r="A18" s="13" t="s">
        <v>445</v>
      </c>
      <c r="B18" s="14">
        <v>46203</v>
      </c>
      <c r="C18" s="13" t="s">
        <v>111</v>
      </c>
      <c r="D18" s="2" t="s">
        <v>112</v>
      </c>
      <c r="E18" s="2" t="s">
        <v>74</v>
      </c>
      <c r="F18" s="2" t="s">
        <v>446</v>
      </c>
      <c r="G18" s="2" t="s">
        <v>447</v>
      </c>
      <c r="H18" s="2" t="s">
        <v>448</v>
      </c>
      <c r="I18" s="53">
        <v>0</v>
      </c>
      <c r="J18" s="53">
        <v>50</v>
      </c>
      <c r="K18" s="53">
        <v>42</v>
      </c>
      <c r="L18" s="15" t="s">
        <v>422</v>
      </c>
      <c r="M18" s="16">
        <f t="shared" si="0"/>
        <v>0.84</v>
      </c>
      <c r="N18" s="13" t="str">
        <f t="shared" si="1"/>
        <v>In Progress</v>
      </c>
      <c r="O18" s="2" t="s">
        <v>449</v>
      </c>
      <c r="P18" s="2" t="s">
        <v>389</v>
      </c>
      <c r="Q18" s="2" t="s">
        <v>450</v>
      </c>
      <c r="R18" s="2" t="s">
        <v>451</v>
      </c>
      <c r="S18" s="2" t="s">
        <v>72</v>
      </c>
      <c r="T18" s="2" t="s">
        <v>72</v>
      </c>
      <c r="U18" s="2" t="s">
        <v>72</v>
      </c>
      <c r="V18" s="2" t="str">
        <f t="shared" si="2"/>
        <v>Mengandung Dummy</v>
      </c>
      <c r="W18" s="2"/>
    </row>
    <row r="19" spans="1:26" ht="60" customHeight="1">
      <c r="A19" s="13" t="s">
        <v>452</v>
      </c>
      <c r="B19" s="14">
        <v>46203</v>
      </c>
      <c r="C19" s="13" t="s">
        <v>111</v>
      </c>
      <c r="D19" s="2" t="s">
        <v>112</v>
      </c>
      <c r="E19" s="2" t="s">
        <v>75</v>
      </c>
      <c r="F19" s="2" t="s">
        <v>453</v>
      </c>
      <c r="G19" s="2" t="s">
        <v>454</v>
      </c>
      <c r="H19" s="2" t="s">
        <v>455</v>
      </c>
      <c r="I19" s="53">
        <v>0</v>
      </c>
      <c r="J19" s="53">
        <v>9</v>
      </c>
      <c r="K19" s="54">
        <v>9</v>
      </c>
      <c r="L19" s="15" t="s">
        <v>209</v>
      </c>
      <c r="M19" s="16">
        <f t="shared" si="0"/>
        <v>1</v>
      </c>
      <c r="N19" s="13" t="str">
        <f t="shared" si="1"/>
        <v>Tercapai</v>
      </c>
      <c r="O19" s="2" t="s">
        <v>456</v>
      </c>
      <c r="P19" s="2" t="s">
        <v>389</v>
      </c>
      <c r="Q19" s="2" t="s">
        <v>450</v>
      </c>
      <c r="R19" s="2" t="s">
        <v>457</v>
      </c>
      <c r="S19" s="2" t="s">
        <v>72</v>
      </c>
      <c r="T19" s="2" t="s">
        <v>72</v>
      </c>
      <c r="U19" s="2" t="s">
        <v>70</v>
      </c>
      <c r="V19" s="2" t="str">
        <f t="shared" si="2"/>
        <v>Mengandung Dummy</v>
      </c>
      <c r="W19" s="2" t="s">
        <v>458</v>
      </c>
    </row>
    <row r="20" spans="1:26" ht="60" customHeight="1">
      <c r="A20" s="13" t="s">
        <v>459</v>
      </c>
      <c r="B20" s="14">
        <v>46203</v>
      </c>
      <c r="C20" s="13" t="s">
        <v>111</v>
      </c>
      <c r="D20" s="2" t="s">
        <v>112</v>
      </c>
      <c r="E20" s="2" t="s">
        <v>76</v>
      </c>
      <c r="F20" s="2" t="s">
        <v>115</v>
      </c>
      <c r="G20" s="2" t="s">
        <v>460</v>
      </c>
      <c r="H20" s="2" t="s">
        <v>461</v>
      </c>
      <c r="I20" s="53">
        <v>0</v>
      </c>
      <c r="J20" s="53">
        <v>80</v>
      </c>
      <c r="K20" s="52">
        <v>80</v>
      </c>
      <c r="L20" s="15" t="s">
        <v>209</v>
      </c>
      <c r="M20" s="16">
        <f t="shared" si="0"/>
        <v>1</v>
      </c>
      <c r="N20" s="13" t="str">
        <f t="shared" si="1"/>
        <v>Tercapai</v>
      </c>
      <c r="O20" s="2" t="s">
        <v>456</v>
      </c>
      <c r="P20" s="2" t="s">
        <v>389</v>
      </c>
      <c r="Q20" s="2" t="s">
        <v>450</v>
      </c>
      <c r="R20" s="2" t="s">
        <v>462</v>
      </c>
      <c r="S20" s="2" t="s">
        <v>72</v>
      </c>
      <c r="T20" s="2" t="s">
        <v>72</v>
      </c>
      <c r="U20" s="2" t="s">
        <v>70</v>
      </c>
      <c r="V20" s="2" t="str">
        <f t="shared" si="2"/>
        <v>Mengandung Dummy</v>
      </c>
      <c r="W20" s="2" t="s">
        <v>463</v>
      </c>
    </row>
    <row r="21" spans="1:26" ht="60" customHeight="1">
      <c r="A21" s="13" t="s">
        <v>464</v>
      </c>
      <c r="B21" s="14">
        <v>46203</v>
      </c>
      <c r="C21" s="13" t="s">
        <v>111</v>
      </c>
      <c r="D21" s="2" t="s">
        <v>112</v>
      </c>
      <c r="E21" s="2" t="s">
        <v>76</v>
      </c>
      <c r="F21" s="2" t="s">
        <v>115</v>
      </c>
      <c r="G21" s="2" t="s">
        <v>465</v>
      </c>
      <c r="H21" s="2" t="s">
        <v>466</v>
      </c>
      <c r="I21" s="53">
        <v>0</v>
      </c>
      <c r="J21" s="53">
        <v>45</v>
      </c>
      <c r="K21" s="54">
        <v>45</v>
      </c>
      <c r="L21" s="15" t="s">
        <v>212</v>
      </c>
      <c r="M21" s="16">
        <f t="shared" si="0"/>
        <v>1</v>
      </c>
      <c r="N21" s="13" t="str">
        <f t="shared" si="1"/>
        <v>Tercapai</v>
      </c>
      <c r="O21" s="2" t="s">
        <v>456</v>
      </c>
      <c r="P21" s="2" t="s">
        <v>389</v>
      </c>
      <c r="Q21" s="2" t="s">
        <v>450</v>
      </c>
      <c r="R21" s="2" t="s">
        <v>467</v>
      </c>
      <c r="S21" s="2" t="s">
        <v>72</v>
      </c>
      <c r="T21" s="2" t="s">
        <v>72</v>
      </c>
      <c r="U21" s="2" t="s">
        <v>70</v>
      </c>
      <c r="V21" s="2" t="str">
        <f t="shared" si="2"/>
        <v>Mengandung Dummy</v>
      </c>
      <c r="W21" s="2" t="s">
        <v>463</v>
      </c>
    </row>
    <row r="22" spans="1:26" ht="60" customHeight="1">
      <c r="A22" s="13" t="s">
        <v>468</v>
      </c>
      <c r="B22" s="14">
        <v>46203</v>
      </c>
      <c r="C22" s="13" t="s">
        <v>111</v>
      </c>
      <c r="D22" s="2" t="s">
        <v>112</v>
      </c>
      <c r="E22" s="2" t="s">
        <v>77</v>
      </c>
      <c r="F22" s="2" t="s">
        <v>362</v>
      </c>
      <c r="G22" s="2" t="s">
        <v>469</v>
      </c>
      <c r="H22" s="2" t="s">
        <v>470</v>
      </c>
      <c r="I22" s="56">
        <v>0.45</v>
      </c>
      <c r="J22" s="56">
        <v>0.7</v>
      </c>
      <c r="K22" s="56">
        <v>0.68</v>
      </c>
      <c r="L22" s="15" t="s">
        <v>471</v>
      </c>
      <c r="M22" s="16">
        <f t="shared" si="0"/>
        <v>0.97142857142857153</v>
      </c>
      <c r="N22" s="13" t="str">
        <f t="shared" si="1"/>
        <v>In Progress</v>
      </c>
      <c r="O22" s="2" t="s">
        <v>472</v>
      </c>
      <c r="P22" s="2" t="s">
        <v>409</v>
      </c>
      <c r="Q22" s="2" t="s">
        <v>450</v>
      </c>
      <c r="R22" s="2" t="s">
        <v>473</v>
      </c>
      <c r="S22" s="2" t="s">
        <v>72</v>
      </c>
      <c r="T22" s="2" t="s">
        <v>72</v>
      </c>
      <c r="U22" s="2" t="s">
        <v>72</v>
      </c>
      <c r="V22" s="2" t="str">
        <f t="shared" si="2"/>
        <v>Mengandung Dummy</v>
      </c>
      <c r="W22" s="2" t="s">
        <v>463</v>
      </c>
    </row>
    <row r="23" spans="1:26" ht="60" customHeight="1">
      <c r="A23" s="13" t="s">
        <v>474</v>
      </c>
      <c r="B23" s="14">
        <v>46203</v>
      </c>
      <c r="C23" s="13" t="s">
        <v>111</v>
      </c>
      <c r="D23" s="2" t="s">
        <v>112</v>
      </c>
      <c r="E23" s="2" t="s">
        <v>78</v>
      </c>
      <c r="F23" s="2" t="s">
        <v>117</v>
      </c>
      <c r="G23" s="2" t="s">
        <v>475</v>
      </c>
      <c r="H23" s="2" t="s">
        <v>442</v>
      </c>
      <c r="I23" s="56">
        <v>0</v>
      </c>
      <c r="J23" s="56">
        <v>0.1</v>
      </c>
      <c r="K23" s="56">
        <v>0.06</v>
      </c>
      <c r="L23" s="15" t="s">
        <v>443</v>
      </c>
      <c r="M23" s="16">
        <f t="shared" si="0"/>
        <v>0.6</v>
      </c>
      <c r="N23" s="13" t="str">
        <f t="shared" si="1"/>
        <v>Perlu Perhatian</v>
      </c>
      <c r="O23" s="2" t="s">
        <v>476</v>
      </c>
      <c r="P23" s="2" t="s">
        <v>415</v>
      </c>
      <c r="Q23" s="2" t="s">
        <v>450</v>
      </c>
      <c r="R23" s="2" t="s">
        <v>477</v>
      </c>
      <c r="S23" s="2" t="s">
        <v>72</v>
      </c>
      <c r="T23" s="2" t="s">
        <v>72</v>
      </c>
      <c r="U23" s="2" t="s">
        <v>72</v>
      </c>
      <c r="V23" s="2" t="str">
        <f t="shared" si="2"/>
        <v>Mengandung Dummy</v>
      </c>
      <c r="W23" s="2" t="s">
        <v>417</v>
      </c>
    </row>
    <row r="24" spans="1:26" ht="60" customHeight="1">
      <c r="A24" s="13" t="s">
        <v>478</v>
      </c>
      <c r="B24" s="14">
        <v>46203</v>
      </c>
      <c r="C24" s="13" t="s">
        <v>119</v>
      </c>
      <c r="D24" s="2" t="s">
        <v>120</v>
      </c>
      <c r="E24" s="2" t="s">
        <v>74</v>
      </c>
      <c r="F24" s="2" t="s">
        <v>479</v>
      </c>
      <c r="G24" s="2" t="s">
        <v>447</v>
      </c>
      <c r="H24" s="2" t="s">
        <v>480</v>
      </c>
      <c r="I24" s="53">
        <v>0</v>
      </c>
      <c r="J24" s="53">
        <v>80</v>
      </c>
      <c r="K24" s="53">
        <v>72</v>
      </c>
      <c r="L24" s="15" t="s">
        <v>422</v>
      </c>
      <c r="M24" s="16">
        <f t="shared" si="0"/>
        <v>0.9</v>
      </c>
      <c r="N24" s="13" t="str">
        <f t="shared" si="1"/>
        <v>In Progress</v>
      </c>
      <c r="O24" s="2" t="s">
        <v>449</v>
      </c>
      <c r="P24" s="2" t="s">
        <v>389</v>
      </c>
      <c r="Q24" s="2" t="s">
        <v>481</v>
      </c>
      <c r="R24" s="2" t="s">
        <v>451</v>
      </c>
      <c r="S24" s="2" t="s">
        <v>72</v>
      </c>
      <c r="T24" s="2" t="s">
        <v>72</v>
      </c>
      <c r="U24" s="2" t="s">
        <v>72</v>
      </c>
      <c r="V24" s="2" t="str">
        <f t="shared" si="2"/>
        <v>Mengandung Dummy</v>
      </c>
      <c r="W24" s="2"/>
      <c r="X24" s="25"/>
      <c r="Y24" s="25"/>
      <c r="Z24" s="25"/>
    </row>
    <row r="25" spans="1:26" ht="60" customHeight="1">
      <c r="A25" s="13" t="s">
        <v>482</v>
      </c>
      <c r="B25" s="14">
        <v>46203</v>
      </c>
      <c r="C25" s="13" t="s">
        <v>119</v>
      </c>
      <c r="D25" s="2" t="s">
        <v>120</v>
      </c>
      <c r="E25" s="2" t="s">
        <v>75</v>
      </c>
      <c r="F25" s="2" t="s">
        <v>483</v>
      </c>
      <c r="G25" s="2" t="s">
        <v>484</v>
      </c>
      <c r="H25" s="2" t="s">
        <v>485</v>
      </c>
      <c r="I25" s="53">
        <v>0</v>
      </c>
      <c r="J25" s="53">
        <v>8</v>
      </c>
      <c r="K25" s="54">
        <v>8</v>
      </c>
      <c r="L25" s="15" t="s">
        <v>214</v>
      </c>
      <c r="M25" s="16">
        <f t="shared" si="0"/>
        <v>1</v>
      </c>
      <c r="N25" s="13" t="str">
        <f t="shared" si="1"/>
        <v>Tercapai</v>
      </c>
      <c r="O25" s="2" t="s">
        <v>486</v>
      </c>
      <c r="P25" s="2" t="s">
        <v>389</v>
      </c>
      <c r="Q25" s="2" t="s">
        <v>481</v>
      </c>
      <c r="R25" s="2" t="s">
        <v>487</v>
      </c>
      <c r="S25" s="2" t="s">
        <v>72</v>
      </c>
      <c r="T25" s="2" t="s">
        <v>72</v>
      </c>
      <c r="U25" s="2" t="s">
        <v>71</v>
      </c>
      <c r="V25" s="2" t="str">
        <f t="shared" si="2"/>
        <v>Mengandung Dummy</v>
      </c>
      <c r="W25" s="2" t="s">
        <v>488</v>
      </c>
    </row>
    <row r="26" spans="1:26" ht="60" customHeight="1">
      <c r="A26" s="13" t="s">
        <v>489</v>
      </c>
      <c r="B26" s="14">
        <v>46203</v>
      </c>
      <c r="C26" s="13" t="s">
        <v>119</v>
      </c>
      <c r="D26" s="2" t="s">
        <v>120</v>
      </c>
      <c r="E26" s="2" t="s">
        <v>75</v>
      </c>
      <c r="F26" s="2" t="s">
        <v>490</v>
      </c>
      <c r="G26" s="2" t="s">
        <v>491</v>
      </c>
      <c r="H26" s="2" t="s">
        <v>492</v>
      </c>
      <c r="I26" s="53">
        <v>0</v>
      </c>
      <c r="J26" s="53">
        <v>3</v>
      </c>
      <c r="K26" s="52">
        <v>3</v>
      </c>
      <c r="L26" s="15" t="s">
        <v>209</v>
      </c>
      <c r="M26" s="16">
        <f t="shared" si="0"/>
        <v>1</v>
      </c>
      <c r="N26" s="13" t="str">
        <f t="shared" si="1"/>
        <v>Tercapai</v>
      </c>
      <c r="O26" s="2" t="s">
        <v>486</v>
      </c>
      <c r="P26" s="2" t="s">
        <v>389</v>
      </c>
      <c r="Q26" s="2" t="s">
        <v>481</v>
      </c>
      <c r="R26" s="2" t="s">
        <v>493</v>
      </c>
      <c r="S26" s="2" t="s">
        <v>72</v>
      </c>
      <c r="T26" s="2" t="s">
        <v>72</v>
      </c>
      <c r="U26" s="2" t="s">
        <v>70</v>
      </c>
      <c r="V26" s="2" t="str">
        <f t="shared" si="2"/>
        <v>Mengandung Dummy</v>
      </c>
      <c r="W26" s="2"/>
    </row>
    <row r="27" spans="1:26" ht="60" customHeight="1">
      <c r="A27" s="13" t="s">
        <v>494</v>
      </c>
      <c r="B27" s="14">
        <v>46203</v>
      </c>
      <c r="C27" s="13" t="s">
        <v>119</v>
      </c>
      <c r="D27" s="2" t="s">
        <v>120</v>
      </c>
      <c r="E27" s="2" t="s">
        <v>76</v>
      </c>
      <c r="F27" s="2" t="s">
        <v>123</v>
      </c>
      <c r="G27" s="2" t="s">
        <v>495</v>
      </c>
      <c r="H27" s="2" t="s">
        <v>496</v>
      </c>
      <c r="I27" s="53">
        <v>0</v>
      </c>
      <c r="J27" s="53">
        <v>33</v>
      </c>
      <c r="K27" s="54">
        <v>33</v>
      </c>
      <c r="L27" s="15" t="s">
        <v>218</v>
      </c>
      <c r="M27" s="16">
        <f t="shared" si="0"/>
        <v>1</v>
      </c>
      <c r="N27" s="13" t="str">
        <f t="shared" si="1"/>
        <v>Tercapai</v>
      </c>
      <c r="O27" s="2" t="s">
        <v>486</v>
      </c>
      <c r="P27" s="2" t="s">
        <v>389</v>
      </c>
      <c r="Q27" s="2" t="s">
        <v>481</v>
      </c>
      <c r="R27" s="2" t="s">
        <v>497</v>
      </c>
      <c r="S27" s="2" t="s">
        <v>72</v>
      </c>
      <c r="T27" s="2" t="s">
        <v>72</v>
      </c>
      <c r="U27" s="2" t="s">
        <v>70</v>
      </c>
      <c r="V27" s="2" t="str">
        <f t="shared" si="2"/>
        <v>Mengandung Dummy</v>
      </c>
      <c r="W27" s="2" t="s">
        <v>463</v>
      </c>
    </row>
    <row r="28" spans="1:26" ht="60" customHeight="1">
      <c r="A28" s="13" t="s">
        <v>498</v>
      </c>
      <c r="B28" s="14">
        <v>46203</v>
      </c>
      <c r="C28" s="13" t="s">
        <v>119</v>
      </c>
      <c r="D28" s="2" t="s">
        <v>120</v>
      </c>
      <c r="E28" s="2" t="s">
        <v>76</v>
      </c>
      <c r="F28" s="2" t="s">
        <v>123</v>
      </c>
      <c r="G28" s="2" t="s">
        <v>499</v>
      </c>
      <c r="H28" s="2" t="s">
        <v>500</v>
      </c>
      <c r="I28" s="53">
        <v>0</v>
      </c>
      <c r="J28" s="53">
        <v>17</v>
      </c>
      <c r="K28" s="52">
        <v>17</v>
      </c>
      <c r="L28" s="15" t="s">
        <v>209</v>
      </c>
      <c r="M28" s="16">
        <f t="shared" si="0"/>
        <v>1</v>
      </c>
      <c r="N28" s="13" t="str">
        <f t="shared" si="1"/>
        <v>Tercapai</v>
      </c>
      <c r="O28" s="2" t="s">
        <v>486</v>
      </c>
      <c r="P28" s="2" t="s">
        <v>389</v>
      </c>
      <c r="Q28" s="2" t="s">
        <v>481</v>
      </c>
      <c r="R28" s="2" t="s">
        <v>501</v>
      </c>
      <c r="S28" s="2" t="s">
        <v>72</v>
      </c>
      <c r="T28" s="2" t="s">
        <v>72</v>
      </c>
      <c r="U28" s="2" t="s">
        <v>70</v>
      </c>
      <c r="V28" s="2" t="str">
        <f t="shared" si="2"/>
        <v>Mengandung Dummy</v>
      </c>
      <c r="W28" s="2" t="s">
        <v>463</v>
      </c>
    </row>
    <row r="29" spans="1:26" ht="60" customHeight="1">
      <c r="A29" s="13" t="s">
        <v>502</v>
      </c>
      <c r="B29" s="14">
        <v>46203</v>
      </c>
      <c r="C29" s="13" t="s">
        <v>119</v>
      </c>
      <c r="D29" s="2" t="s">
        <v>120</v>
      </c>
      <c r="E29" s="2" t="s">
        <v>76</v>
      </c>
      <c r="F29" s="2" t="s">
        <v>123</v>
      </c>
      <c r="G29" s="2" t="s">
        <v>503</v>
      </c>
      <c r="H29" s="2" t="s">
        <v>504</v>
      </c>
      <c r="I29" s="53">
        <v>0</v>
      </c>
      <c r="J29" s="53">
        <v>11</v>
      </c>
      <c r="K29" s="54">
        <v>11</v>
      </c>
      <c r="L29" s="15" t="s">
        <v>209</v>
      </c>
      <c r="M29" s="16">
        <f t="shared" si="0"/>
        <v>1</v>
      </c>
      <c r="N29" s="13" t="str">
        <f t="shared" si="1"/>
        <v>Tercapai</v>
      </c>
      <c r="O29" s="2" t="s">
        <v>486</v>
      </c>
      <c r="P29" s="2" t="s">
        <v>389</v>
      </c>
      <c r="Q29" s="2" t="s">
        <v>481</v>
      </c>
      <c r="R29" s="2" t="s">
        <v>505</v>
      </c>
      <c r="S29" s="2" t="s">
        <v>72</v>
      </c>
      <c r="T29" s="2" t="s">
        <v>72</v>
      </c>
      <c r="U29" s="2" t="s">
        <v>70</v>
      </c>
      <c r="V29" s="2" t="str">
        <f t="shared" si="2"/>
        <v>Mengandung Dummy</v>
      </c>
      <c r="W29" s="2" t="s">
        <v>463</v>
      </c>
    </row>
    <row r="30" spans="1:26" ht="60" customHeight="1">
      <c r="A30" s="13" t="s">
        <v>506</v>
      </c>
      <c r="B30" s="14">
        <v>46203</v>
      </c>
      <c r="C30" s="13" t="s">
        <v>119</v>
      </c>
      <c r="D30" s="2" t="s">
        <v>120</v>
      </c>
      <c r="E30" s="2" t="s">
        <v>76</v>
      </c>
      <c r="F30" s="2" t="s">
        <v>123</v>
      </c>
      <c r="G30" s="2" t="s">
        <v>223</v>
      </c>
      <c r="H30" s="2" t="s">
        <v>507</v>
      </c>
      <c r="I30" s="53">
        <v>0</v>
      </c>
      <c r="J30" s="53">
        <v>60</v>
      </c>
      <c r="K30" s="52">
        <v>60</v>
      </c>
      <c r="L30" s="15" t="s">
        <v>224</v>
      </c>
      <c r="M30" s="16">
        <f t="shared" si="0"/>
        <v>1</v>
      </c>
      <c r="N30" s="13" t="str">
        <f t="shared" si="1"/>
        <v>Tercapai</v>
      </c>
      <c r="O30" s="2" t="s">
        <v>486</v>
      </c>
      <c r="P30" s="2" t="s">
        <v>389</v>
      </c>
      <c r="Q30" s="2" t="s">
        <v>481</v>
      </c>
      <c r="R30" s="2" t="s">
        <v>508</v>
      </c>
      <c r="S30" s="2" t="s">
        <v>72</v>
      </c>
      <c r="T30" s="2" t="s">
        <v>72</v>
      </c>
      <c r="U30" s="2" t="s">
        <v>70</v>
      </c>
      <c r="V30" s="2" t="str">
        <f t="shared" si="2"/>
        <v>Mengandung Dummy</v>
      </c>
      <c r="W30" s="2" t="s">
        <v>463</v>
      </c>
    </row>
    <row r="31" spans="1:26" ht="60" customHeight="1">
      <c r="A31" s="13" t="s">
        <v>509</v>
      </c>
      <c r="B31" s="14">
        <v>46203</v>
      </c>
      <c r="C31" s="13" t="s">
        <v>119</v>
      </c>
      <c r="D31" s="2" t="s">
        <v>120</v>
      </c>
      <c r="E31" s="2" t="s">
        <v>77</v>
      </c>
      <c r="F31" s="2" t="s">
        <v>364</v>
      </c>
      <c r="G31" s="2" t="s">
        <v>510</v>
      </c>
      <c r="H31" s="2" t="s">
        <v>511</v>
      </c>
      <c r="I31" s="56">
        <v>0.75</v>
      </c>
      <c r="J31" s="56">
        <v>0.85</v>
      </c>
      <c r="K31" s="56">
        <v>0.82</v>
      </c>
      <c r="L31" s="15" t="s">
        <v>512</v>
      </c>
      <c r="M31" s="16">
        <f t="shared" si="0"/>
        <v>0.96470588235294119</v>
      </c>
      <c r="N31" s="13" t="str">
        <f t="shared" si="1"/>
        <v>In Progress</v>
      </c>
      <c r="O31" s="2" t="s">
        <v>513</v>
      </c>
      <c r="P31" s="2" t="s">
        <v>409</v>
      </c>
      <c r="Q31" s="2" t="s">
        <v>481</v>
      </c>
      <c r="R31" s="2" t="s">
        <v>514</v>
      </c>
      <c r="S31" s="2" t="s">
        <v>72</v>
      </c>
      <c r="T31" s="2" t="s">
        <v>72</v>
      </c>
      <c r="U31" s="2" t="s">
        <v>72</v>
      </c>
      <c r="V31" s="2" t="str">
        <f t="shared" si="2"/>
        <v>Mengandung Dummy</v>
      </c>
      <c r="W31" s="2" t="s">
        <v>463</v>
      </c>
    </row>
    <row r="32" spans="1:26" ht="60" customHeight="1">
      <c r="A32" s="13" t="s">
        <v>515</v>
      </c>
      <c r="B32" s="14">
        <v>46203</v>
      </c>
      <c r="C32" s="13" t="s">
        <v>119</v>
      </c>
      <c r="D32" s="2" t="s">
        <v>120</v>
      </c>
      <c r="E32" s="2" t="s">
        <v>78</v>
      </c>
      <c r="F32" s="2" t="s">
        <v>125</v>
      </c>
      <c r="G32" s="2" t="s">
        <v>516</v>
      </c>
      <c r="H32" s="2" t="s">
        <v>517</v>
      </c>
      <c r="I32" s="56">
        <v>0</v>
      </c>
      <c r="J32" s="56">
        <v>0.08</v>
      </c>
      <c r="K32" s="56">
        <v>0.05</v>
      </c>
      <c r="L32" s="15" t="s">
        <v>443</v>
      </c>
      <c r="M32" s="16">
        <f t="shared" si="0"/>
        <v>0.625</v>
      </c>
      <c r="N32" s="13" t="str">
        <f t="shared" si="1"/>
        <v>Perlu Perhatian</v>
      </c>
      <c r="O32" s="2" t="s">
        <v>518</v>
      </c>
      <c r="P32" s="2" t="s">
        <v>415</v>
      </c>
      <c r="Q32" s="2" t="s">
        <v>481</v>
      </c>
      <c r="R32" s="2" t="s">
        <v>519</v>
      </c>
      <c r="S32" s="2" t="s">
        <v>72</v>
      </c>
      <c r="T32" s="2" t="s">
        <v>72</v>
      </c>
      <c r="U32" s="2" t="s">
        <v>72</v>
      </c>
      <c r="V32" s="2" t="str">
        <f t="shared" si="2"/>
        <v>Mengandung Dummy</v>
      </c>
      <c r="W32" s="2" t="s">
        <v>417</v>
      </c>
      <c r="X32" s="25"/>
      <c r="Y32" s="25"/>
      <c r="Z32" s="25"/>
    </row>
    <row r="33" spans="1:26" ht="60" customHeight="1">
      <c r="A33" s="13" t="s">
        <v>520</v>
      </c>
      <c r="B33" s="14">
        <v>46203</v>
      </c>
      <c r="C33" s="13" t="s">
        <v>127</v>
      </c>
      <c r="D33" s="2" t="s">
        <v>128</v>
      </c>
      <c r="E33" s="2" t="s">
        <v>74</v>
      </c>
      <c r="F33" s="2" t="s">
        <v>521</v>
      </c>
      <c r="G33" s="2" t="s">
        <v>447</v>
      </c>
      <c r="H33" s="2" t="s">
        <v>522</v>
      </c>
      <c r="I33" s="53">
        <v>0</v>
      </c>
      <c r="J33" s="53">
        <v>40</v>
      </c>
      <c r="K33" s="53">
        <v>37</v>
      </c>
      <c r="L33" s="15" t="s">
        <v>422</v>
      </c>
      <c r="M33" s="16">
        <f t="shared" si="0"/>
        <v>0.92500000000000004</v>
      </c>
      <c r="N33" s="13" t="str">
        <f t="shared" si="1"/>
        <v>In Progress</v>
      </c>
      <c r="O33" s="2" t="s">
        <v>449</v>
      </c>
      <c r="P33" s="2" t="s">
        <v>389</v>
      </c>
      <c r="Q33" s="2" t="s">
        <v>523</v>
      </c>
      <c r="R33" s="2" t="s">
        <v>451</v>
      </c>
      <c r="S33" s="2" t="s">
        <v>72</v>
      </c>
      <c r="T33" s="2" t="s">
        <v>72</v>
      </c>
      <c r="U33" s="2" t="s">
        <v>72</v>
      </c>
      <c r="V33" s="2" t="str">
        <f t="shared" si="2"/>
        <v>Mengandung Dummy</v>
      </c>
      <c r="W33" s="2"/>
    </row>
    <row r="34" spans="1:26" ht="60" customHeight="1">
      <c r="A34" s="13" t="s">
        <v>524</v>
      </c>
      <c r="B34" s="14">
        <v>46203</v>
      </c>
      <c r="C34" s="13" t="s">
        <v>127</v>
      </c>
      <c r="D34" s="2" t="s">
        <v>128</v>
      </c>
      <c r="E34" s="2" t="s">
        <v>75</v>
      </c>
      <c r="F34" s="2" t="s">
        <v>525</v>
      </c>
      <c r="G34" s="2" t="s">
        <v>226</v>
      </c>
      <c r="H34" s="2" t="s">
        <v>526</v>
      </c>
      <c r="I34" s="53">
        <v>0</v>
      </c>
      <c r="J34" s="53">
        <v>3</v>
      </c>
      <c r="K34" s="52">
        <v>3</v>
      </c>
      <c r="L34" s="15" t="s">
        <v>227</v>
      </c>
      <c r="M34" s="16">
        <f t="shared" si="0"/>
        <v>1</v>
      </c>
      <c r="N34" s="13" t="str">
        <f t="shared" si="1"/>
        <v>Tercapai</v>
      </c>
      <c r="O34" s="2" t="s">
        <v>527</v>
      </c>
      <c r="P34" s="2" t="s">
        <v>389</v>
      </c>
      <c r="Q34" s="2" t="s">
        <v>523</v>
      </c>
      <c r="R34" s="2" t="s">
        <v>528</v>
      </c>
      <c r="S34" s="2" t="s">
        <v>72</v>
      </c>
      <c r="T34" s="2" t="s">
        <v>72</v>
      </c>
      <c r="U34" s="2" t="s">
        <v>70</v>
      </c>
      <c r="V34" s="2" t="str">
        <f t="shared" si="2"/>
        <v>Mengandung Dummy</v>
      </c>
      <c r="W34" s="2"/>
    </row>
    <row r="35" spans="1:26" ht="60" customHeight="1">
      <c r="A35" s="13" t="s">
        <v>529</v>
      </c>
      <c r="B35" s="14">
        <v>46203</v>
      </c>
      <c r="C35" s="13" t="s">
        <v>127</v>
      </c>
      <c r="D35" s="2" t="s">
        <v>128</v>
      </c>
      <c r="E35" s="2" t="s">
        <v>75</v>
      </c>
      <c r="F35" s="2" t="s">
        <v>530</v>
      </c>
      <c r="G35" s="2" t="s">
        <v>531</v>
      </c>
      <c r="H35" s="2" t="s">
        <v>532</v>
      </c>
      <c r="I35" s="53">
        <v>0</v>
      </c>
      <c r="J35" s="53">
        <v>1</v>
      </c>
      <c r="K35" s="54">
        <v>1</v>
      </c>
      <c r="L35" s="15" t="s">
        <v>209</v>
      </c>
      <c r="M35" s="16">
        <f t="shared" si="0"/>
        <v>1</v>
      </c>
      <c r="N35" s="13" t="str">
        <f t="shared" si="1"/>
        <v>Tercapai</v>
      </c>
      <c r="O35" s="2" t="s">
        <v>527</v>
      </c>
      <c r="P35" s="2" t="s">
        <v>389</v>
      </c>
      <c r="Q35" s="2" t="s">
        <v>523</v>
      </c>
      <c r="R35" s="2" t="s">
        <v>533</v>
      </c>
      <c r="S35" s="2" t="s">
        <v>72</v>
      </c>
      <c r="T35" s="2" t="s">
        <v>72</v>
      </c>
      <c r="U35" s="2" t="s">
        <v>70</v>
      </c>
      <c r="V35" s="2" t="str">
        <f t="shared" si="2"/>
        <v>Mengandung Dummy</v>
      </c>
      <c r="W35" s="2"/>
    </row>
    <row r="36" spans="1:26" ht="60" customHeight="1">
      <c r="A36" s="13" t="s">
        <v>534</v>
      </c>
      <c r="B36" s="14">
        <v>46203</v>
      </c>
      <c r="C36" s="13" t="s">
        <v>127</v>
      </c>
      <c r="D36" s="2" t="s">
        <v>128</v>
      </c>
      <c r="E36" s="2" t="s">
        <v>76</v>
      </c>
      <c r="F36" s="2" t="s">
        <v>131</v>
      </c>
      <c r="G36" s="2" t="s">
        <v>495</v>
      </c>
      <c r="H36" s="2" t="s">
        <v>535</v>
      </c>
      <c r="I36" s="53">
        <v>0</v>
      </c>
      <c r="J36" s="53">
        <v>33</v>
      </c>
      <c r="K36" s="52">
        <v>33</v>
      </c>
      <c r="L36" s="15" t="s">
        <v>218</v>
      </c>
      <c r="M36" s="16">
        <f t="shared" si="0"/>
        <v>1</v>
      </c>
      <c r="N36" s="13" t="str">
        <f t="shared" si="1"/>
        <v>Tercapai</v>
      </c>
      <c r="O36" s="2" t="s">
        <v>527</v>
      </c>
      <c r="P36" s="2" t="s">
        <v>389</v>
      </c>
      <c r="Q36" s="2" t="s">
        <v>523</v>
      </c>
      <c r="R36" s="2" t="s">
        <v>536</v>
      </c>
      <c r="S36" s="2" t="s">
        <v>72</v>
      </c>
      <c r="T36" s="2" t="s">
        <v>72</v>
      </c>
      <c r="U36" s="2" t="s">
        <v>70</v>
      </c>
      <c r="V36" s="2" t="str">
        <f t="shared" si="2"/>
        <v>Mengandung Dummy</v>
      </c>
      <c r="W36" s="2" t="s">
        <v>537</v>
      </c>
    </row>
    <row r="37" spans="1:26" ht="60" customHeight="1">
      <c r="A37" s="13" t="s">
        <v>538</v>
      </c>
      <c r="B37" s="14">
        <v>46203</v>
      </c>
      <c r="C37" s="13" t="s">
        <v>127</v>
      </c>
      <c r="D37" s="2" t="s">
        <v>128</v>
      </c>
      <c r="E37" s="2" t="s">
        <v>76</v>
      </c>
      <c r="F37" s="2" t="s">
        <v>131</v>
      </c>
      <c r="G37" s="2" t="s">
        <v>539</v>
      </c>
      <c r="H37" s="2" t="s">
        <v>540</v>
      </c>
      <c r="I37" s="53">
        <v>0</v>
      </c>
      <c r="J37" s="53">
        <v>60</v>
      </c>
      <c r="K37" s="54">
        <v>60</v>
      </c>
      <c r="L37" s="15" t="s">
        <v>224</v>
      </c>
      <c r="M37" s="16">
        <f t="shared" si="0"/>
        <v>1</v>
      </c>
      <c r="N37" s="13" t="str">
        <f t="shared" si="1"/>
        <v>Tercapai</v>
      </c>
      <c r="O37" s="2" t="s">
        <v>527</v>
      </c>
      <c r="P37" s="2" t="s">
        <v>389</v>
      </c>
      <c r="Q37" s="2" t="s">
        <v>523</v>
      </c>
      <c r="R37" s="2" t="s">
        <v>508</v>
      </c>
      <c r="S37" s="2" t="s">
        <v>72</v>
      </c>
      <c r="T37" s="2" t="s">
        <v>72</v>
      </c>
      <c r="U37" s="2" t="s">
        <v>70</v>
      </c>
      <c r="V37" s="2" t="str">
        <f t="shared" si="2"/>
        <v>Mengandung Dummy</v>
      </c>
      <c r="W37" s="2" t="s">
        <v>537</v>
      </c>
    </row>
    <row r="38" spans="1:26" ht="60" customHeight="1">
      <c r="A38" s="13" t="s">
        <v>541</v>
      </c>
      <c r="B38" s="14">
        <v>46203</v>
      </c>
      <c r="C38" s="13" t="s">
        <v>127</v>
      </c>
      <c r="D38" s="2" t="s">
        <v>128</v>
      </c>
      <c r="E38" s="2" t="s">
        <v>77</v>
      </c>
      <c r="F38" s="2" t="s">
        <v>366</v>
      </c>
      <c r="G38" s="2" t="s">
        <v>469</v>
      </c>
      <c r="H38" s="2" t="s">
        <v>542</v>
      </c>
      <c r="I38" s="56">
        <v>0.5</v>
      </c>
      <c r="J38" s="56">
        <v>0.75</v>
      </c>
      <c r="K38" s="56">
        <v>0.71</v>
      </c>
      <c r="L38" s="15" t="s">
        <v>471</v>
      </c>
      <c r="M38" s="16">
        <f t="shared" si="0"/>
        <v>0.94666666666666666</v>
      </c>
      <c r="N38" s="13" t="str">
        <f t="shared" si="1"/>
        <v>In Progress</v>
      </c>
      <c r="O38" s="2" t="s">
        <v>472</v>
      </c>
      <c r="P38" s="2" t="s">
        <v>409</v>
      </c>
      <c r="Q38" s="2" t="s">
        <v>523</v>
      </c>
      <c r="R38" s="2" t="s">
        <v>543</v>
      </c>
      <c r="S38" s="2" t="s">
        <v>72</v>
      </c>
      <c r="T38" s="2" t="s">
        <v>72</v>
      </c>
      <c r="U38" s="2" t="s">
        <v>72</v>
      </c>
      <c r="V38" s="2" t="str">
        <f t="shared" si="2"/>
        <v>Mengandung Dummy</v>
      </c>
      <c r="W38" s="2" t="s">
        <v>537</v>
      </c>
    </row>
    <row r="39" spans="1:26" ht="60" customHeight="1">
      <c r="A39" s="13" t="s">
        <v>544</v>
      </c>
      <c r="B39" s="14">
        <v>46203</v>
      </c>
      <c r="C39" s="13" t="s">
        <v>127</v>
      </c>
      <c r="D39" s="2" t="s">
        <v>128</v>
      </c>
      <c r="E39" s="2" t="s">
        <v>78</v>
      </c>
      <c r="F39" s="2" t="s">
        <v>133</v>
      </c>
      <c r="G39" s="2" t="s">
        <v>545</v>
      </c>
      <c r="H39" s="2" t="s">
        <v>546</v>
      </c>
      <c r="I39" s="56">
        <v>0</v>
      </c>
      <c r="J39" s="56">
        <v>0.08</v>
      </c>
      <c r="K39" s="56">
        <v>0.04</v>
      </c>
      <c r="L39" s="15" t="s">
        <v>443</v>
      </c>
      <c r="M39" s="16">
        <f t="shared" si="0"/>
        <v>0.5</v>
      </c>
      <c r="N39" s="13" t="str">
        <f t="shared" si="1"/>
        <v>Perlu Perhatian</v>
      </c>
      <c r="O39" s="2" t="s">
        <v>547</v>
      </c>
      <c r="P39" s="2" t="s">
        <v>415</v>
      </c>
      <c r="Q39" s="2" t="s">
        <v>523</v>
      </c>
      <c r="R39" s="2" t="s">
        <v>548</v>
      </c>
      <c r="S39" s="2" t="s">
        <v>72</v>
      </c>
      <c r="T39" s="2" t="s">
        <v>72</v>
      </c>
      <c r="U39" s="2" t="s">
        <v>72</v>
      </c>
      <c r="V39" s="2" t="str">
        <f t="shared" si="2"/>
        <v>Mengandung Dummy</v>
      </c>
      <c r="W39" s="2" t="s">
        <v>417</v>
      </c>
    </row>
    <row r="40" spans="1:26" ht="60" customHeight="1">
      <c r="A40" s="13" t="s">
        <v>549</v>
      </c>
      <c r="B40" s="14">
        <v>46203</v>
      </c>
      <c r="C40" s="13" t="s">
        <v>135</v>
      </c>
      <c r="D40" s="2" t="s">
        <v>136</v>
      </c>
      <c r="E40" s="2" t="s">
        <v>74</v>
      </c>
      <c r="F40" s="2" t="s">
        <v>550</v>
      </c>
      <c r="G40" s="2" t="s">
        <v>447</v>
      </c>
      <c r="H40" s="2" t="s">
        <v>551</v>
      </c>
      <c r="I40" s="53">
        <v>0</v>
      </c>
      <c r="J40" s="53">
        <v>45</v>
      </c>
      <c r="K40" s="53">
        <v>40</v>
      </c>
      <c r="L40" s="15" t="s">
        <v>422</v>
      </c>
      <c r="M40" s="16">
        <f t="shared" si="0"/>
        <v>0.88888888888888884</v>
      </c>
      <c r="N40" s="13" t="str">
        <f t="shared" si="1"/>
        <v>In Progress</v>
      </c>
      <c r="O40" s="2" t="s">
        <v>449</v>
      </c>
      <c r="P40" s="2" t="s">
        <v>389</v>
      </c>
      <c r="Q40" s="2" t="s">
        <v>552</v>
      </c>
      <c r="R40" s="2" t="s">
        <v>451</v>
      </c>
      <c r="S40" s="2" t="s">
        <v>72</v>
      </c>
      <c r="T40" s="2" t="s">
        <v>72</v>
      </c>
      <c r="U40" s="2" t="s">
        <v>72</v>
      </c>
      <c r="V40" s="2" t="str">
        <f t="shared" si="2"/>
        <v>Mengandung Dummy</v>
      </c>
      <c r="W40" s="2"/>
      <c r="X40" s="25"/>
      <c r="Y40" s="25"/>
      <c r="Z40" s="25"/>
    </row>
    <row r="41" spans="1:26" ht="60" customHeight="1">
      <c r="A41" s="13" t="s">
        <v>553</v>
      </c>
      <c r="B41" s="14">
        <v>46203</v>
      </c>
      <c r="C41" s="13" t="s">
        <v>135</v>
      </c>
      <c r="D41" s="2" t="s">
        <v>136</v>
      </c>
      <c r="E41" s="2" t="s">
        <v>75</v>
      </c>
      <c r="F41" s="2" t="s">
        <v>554</v>
      </c>
      <c r="G41" s="2" t="s">
        <v>555</v>
      </c>
      <c r="H41" s="2" t="s">
        <v>556</v>
      </c>
      <c r="I41" s="53">
        <v>0</v>
      </c>
      <c r="J41" s="53">
        <v>20</v>
      </c>
      <c r="K41" s="53">
        <v>18</v>
      </c>
      <c r="L41" s="15" t="s">
        <v>232</v>
      </c>
      <c r="M41" s="16">
        <f t="shared" si="0"/>
        <v>0.9</v>
      </c>
      <c r="N41" s="13" t="str">
        <f t="shared" si="1"/>
        <v>In Progress</v>
      </c>
      <c r="O41" s="2" t="s">
        <v>557</v>
      </c>
      <c r="P41" s="2" t="s">
        <v>389</v>
      </c>
      <c r="Q41" s="2" t="s">
        <v>552</v>
      </c>
      <c r="R41" s="2" t="s">
        <v>558</v>
      </c>
      <c r="S41" s="2" t="s">
        <v>72</v>
      </c>
      <c r="T41" s="2" t="s">
        <v>72</v>
      </c>
      <c r="U41" s="2" t="s">
        <v>72</v>
      </c>
      <c r="V41" s="2" t="str">
        <f t="shared" si="2"/>
        <v>Mengandung Dummy</v>
      </c>
      <c r="W41" s="2"/>
    </row>
    <row r="42" spans="1:26" ht="60" customHeight="1">
      <c r="A42" s="13" t="s">
        <v>559</v>
      </c>
      <c r="B42" s="14">
        <v>46203</v>
      </c>
      <c r="C42" s="13" t="s">
        <v>135</v>
      </c>
      <c r="D42" s="2" t="s">
        <v>136</v>
      </c>
      <c r="E42" s="2" t="s">
        <v>75</v>
      </c>
      <c r="F42" s="2" t="s">
        <v>560</v>
      </c>
      <c r="G42" s="2" t="s">
        <v>561</v>
      </c>
      <c r="H42" s="2" t="s">
        <v>562</v>
      </c>
      <c r="I42" s="53">
        <v>0</v>
      </c>
      <c r="J42" s="53">
        <v>5</v>
      </c>
      <c r="K42" s="53">
        <v>4</v>
      </c>
      <c r="L42" s="15" t="s">
        <v>235</v>
      </c>
      <c r="M42" s="16">
        <f t="shared" si="0"/>
        <v>0.8</v>
      </c>
      <c r="N42" s="13" t="str">
        <f t="shared" si="1"/>
        <v>In Progress</v>
      </c>
      <c r="O42" s="2" t="s">
        <v>563</v>
      </c>
      <c r="P42" s="2" t="s">
        <v>389</v>
      </c>
      <c r="Q42" s="2" t="s">
        <v>552</v>
      </c>
      <c r="R42" s="2" t="s">
        <v>564</v>
      </c>
      <c r="S42" s="2" t="s">
        <v>72</v>
      </c>
      <c r="T42" s="2" t="s">
        <v>72</v>
      </c>
      <c r="U42" s="2" t="s">
        <v>72</v>
      </c>
      <c r="V42" s="2" t="str">
        <f t="shared" si="2"/>
        <v>Mengandung Dummy</v>
      </c>
      <c r="W42" s="2"/>
    </row>
    <row r="43" spans="1:26" ht="60" customHeight="1">
      <c r="A43" s="13" t="s">
        <v>565</v>
      </c>
      <c r="B43" s="14">
        <v>46203</v>
      </c>
      <c r="C43" s="13" t="s">
        <v>135</v>
      </c>
      <c r="D43" s="2" t="s">
        <v>136</v>
      </c>
      <c r="E43" s="2" t="s">
        <v>76</v>
      </c>
      <c r="F43" s="2" t="s">
        <v>139</v>
      </c>
      <c r="G43" s="2" t="s">
        <v>499</v>
      </c>
      <c r="H43" s="2" t="s">
        <v>500</v>
      </c>
      <c r="I43" s="53">
        <v>0</v>
      </c>
      <c r="J43" s="53">
        <v>17</v>
      </c>
      <c r="K43" s="54">
        <v>17</v>
      </c>
      <c r="L43" s="15" t="s">
        <v>209</v>
      </c>
      <c r="M43" s="16">
        <f t="shared" si="0"/>
        <v>1</v>
      </c>
      <c r="N43" s="13" t="str">
        <f t="shared" si="1"/>
        <v>Tercapai</v>
      </c>
      <c r="O43" s="2" t="s">
        <v>566</v>
      </c>
      <c r="P43" s="2" t="s">
        <v>389</v>
      </c>
      <c r="Q43" s="2" t="s">
        <v>552</v>
      </c>
      <c r="R43" s="2" t="s">
        <v>567</v>
      </c>
      <c r="S43" s="2" t="s">
        <v>72</v>
      </c>
      <c r="T43" s="2" t="s">
        <v>72</v>
      </c>
      <c r="U43" s="2" t="s">
        <v>70</v>
      </c>
      <c r="V43" s="2" t="str">
        <f t="shared" si="2"/>
        <v>Mengandung Dummy</v>
      </c>
      <c r="W43" s="2" t="s">
        <v>537</v>
      </c>
    </row>
    <row r="44" spans="1:26" ht="60" customHeight="1">
      <c r="A44" s="22" t="s">
        <v>568</v>
      </c>
      <c r="B44" s="28">
        <v>46203</v>
      </c>
      <c r="C44" s="22" t="s">
        <v>135</v>
      </c>
      <c r="D44" s="22" t="s">
        <v>136</v>
      </c>
      <c r="E44" s="22" t="s">
        <v>76</v>
      </c>
      <c r="F44" s="22" t="s">
        <v>139</v>
      </c>
      <c r="G44" s="22" t="s">
        <v>569</v>
      </c>
      <c r="H44" s="22" t="s">
        <v>570</v>
      </c>
      <c r="I44" s="59">
        <v>0</v>
      </c>
      <c r="J44" s="59">
        <v>8</v>
      </c>
      <c r="K44" s="58">
        <v>8</v>
      </c>
      <c r="L44" s="30" t="s">
        <v>214</v>
      </c>
      <c r="M44" s="66">
        <f t="shared" ref="M44:M78" si="3">IFERROR(K44/J44,0)</f>
        <v>1</v>
      </c>
      <c r="N44" s="22" t="str">
        <f t="shared" ref="N44:N78" si="4">IF(K44="","Belum Ada Data",IF(M44&gt;=1,"Tercapai",IF(M44&gt;=0.8,"In Progress","Perlu Perhatian")))</f>
        <v>Tercapai</v>
      </c>
      <c r="O44" s="22" t="s">
        <v>566</v>
      </c>
      <c r="P44" s="22" t="s">
        <v>389</v>
      </c>
      <c r="Q44" s="22" t="s">
        <v>552</v>
      </c>
      <c r="R44" s="22" t="s">
        <v>571</v>
      </c>
      <c r="S44" s="22" t="s">
        <v>72</v>
      </c>
      <c r="T44" s="22" t="s">
        <v>72</v>
      </c>
      <c r="U44" s="22" t="s">
        <v>70</v>
      </c>
      <c r="V44" s="22" t="str">
        <f t="shared" ref="V44:V78" si="5">IF(OR(S44="Dummy",T44="Dummy",U44="Dummy"),"Mengandung Dummy",IF(OR(S44="Turunan",T44="Turunan",U44="Turunan"),"Turunan Laporan","Laporan"))</f>
        <v>Mengandung Dummy</v>
      </c>
      <c r="W44" s="22" t="s">
        <v>537</v>
      </c>
    </row>
    <row r="45" spans="1:26" ht="60" customHeight="1">
      <c r="A45" s="24" t="s">
        <v>572</v>
      </c>
      <c r="B45" s="29">
        <v>46203</v>
      </c>
      <c r="C45" s="24" t="s">
        <v>135</v>
      </c>
      <c r="D45" s="24" t="s">
        <v>136</v>
      </c>
      <c r="E45" s="24" t="s">
        <v>77</v>
      </c>
      <c r="F45" s="24" t="s">
        <v>368</v>
      </c>
      <c r="G45" s="24" t="s">
        <v>573</v>
      </c>
      <c r="H45" s="24" t="s">
        <v>574</v>
      </c>
      <c r="I45" s="61">
        <v>0.4</v>
      </c>
      <c r="J45" s="61">
        <v>0.7</v>
      </c>
      <c r="K45" s="61">
        <v>0.62</v>
      </c>
      <c r="L45" s="31" t="s">
        <v>471</v>
      </c>
      <c r="M45" s="67">
        <f t="shared" si="3"/>
        <v>0.88571428571428579</v>
      </c>
      <c r="N45" s="24" t="str">
        <f t="shared" si="4"/>
        <v>In Progress</v>
      </c>
      <c r="O45" s="24" t="s">
        <v>575</v>
      </c>
      <c r="P45" s="24" t="s">
        <v>409</v>
      </c>
      <c r="Q45" s="24" t="s">
        <v>552</v>
      </c>
      <c r="R45" s="24" t="s">
        <v>576</v>
      </c>
      <c r="S45" s="24" t="s">
        <v>72</v>
      </c>
      <c r="T45" s="24" t="s">
        <v>72</v>
      </c>
      <c r="U45" s="24" t="s">
        <v>72</v>
      </c>
      <c r="V45" s="24" t="str">
        <f t="shared" si="5"/>
        <v>Mengandung Dummy</v>
      </c>
      <c r="W45" s="24" t="s">
        <v>537</v>
      </c>
    </row>
    <row r="46" spans="1:26" ht="60" customHeight="1">
      <c r="A46" s="24" t="s">
        <v>577</v>
      </c>
      <c r="B46" s="29">
        <v>46203</v>
      </c>
      <c r="C46" s="24" t="s">
        <v>135</v>
      </c>
      <c r="D46" s="24" t="s">
        <v>136</v>
      </c>
      <c r="E46" s="24" t="s">
        <v>78</v>
      </c>
      <c r="F46" s="24" t="s">
        <v>125</v>
      </c>
      <c r="G46" s="24" t="s">
        <v>578</v>
      </c>
      <c r="H46" s="24" t="s">
        <v>579</v>
      </c>
      <c r="I46" s="61">
        <v>0</v>
      </c>
      <c r="J46" s="61">
        <v>0.15</v>
      </c>
      <c r="K46" s="61">
        <v>0.09</v>
      </c>
      <c r="L46" s="31" t="s">
        <v>580</v>
      </c>
      <c r="M46" s="67">
        <f t="shared" si="3"/>
        <v>0.6</v>
      </c>
      <c r="N46" s="24" t="str">
        <f t="shared" si="4"/>
        <v>Perlu Perhatian</v>
      </c>
      <c r="O46" s="24" t="s">
        <v>581</v>
      </c>
      <c r="P46" s="24" t="s">
        <v>415</v>
      </c>
      <c r="Q46" s="24" t="s">
        <v>552</v>
      </c>
      <c r="R46" s="24" t="s">
        <v>582</v>
      </c>
      <c r="S46" s="24" t="s">
        <v>72</v>
      </c>
      <c r="T46" s="24" t="s">
        <v>72</v>
      </c>
      <c r="U46" s="24" t="s">
        <v>72</v>
      </c>
      <c r="V46" s="24" t="str">
        <f t="shared" si="5"/>
        <v>Mengandung Dummy</v>
      </c>
      <c r="W46" s="24" t="s">
        <v>417</v>
      </c>
    </row>
    <row r="47" spans="1:26" ht="60" customHeight="1">
      <c r="A47" s="24" t="s">
        <v>583</v>
      </c>
      <c r="B47" s="29">
        <v>46203</v>
      </c>
      <c r="C47" s="24" t="s">
        <v>142</v>
      </c>
      <c r="D47" s="24" t="s">
        <v>143</v>
      </c>
      <c r="E47" s="24" t="s">
        <v>76</v>
      </c>
      <c r="F47" s="24" t="s">
        <v>146</v>
      </c>
      <c r="G47" s="24" t="s">
        <v>584</v>
      </c>
      <c r="H47" s="24" t="s">
        <v>585</v>
      </c>
      <c r="I47" s="65">
        <v>0</v>
      </c>
      <c r="J47" s="65">
        <v>17</v>
      </c>
      <c r="K47" s="64">
        <v>17</v>
      </c>
      <c r="L47" s="31" t="s">
        <v>209</v>
      </c>
      <c r="M47" s="67">
        <f t="shared" si="3"/>
        <v>1</v>
      </c>
      <c r="N47" s="24" t="str">
        <f t="shared" si="4"/>
        <v>Tercapai</v>
      </c>
      <c r="O47" s="24" t="s">
        <v>586</v>
      </c>
      <c r="P47" s="24" t="s">
        <v>389</v>
      </c>
      <c r="Q47" s="24" t="s">
        <v>587</v>
      </c>
      <c r="R47" s="24" t="s">
        <v>588</v>
      </c>
      <c r="S47" s="24" t="s">
        <v>72</v>
      </c>
      <c r="T47" s="24" t="s">
        <v>72</v>
      </c>
      <c r="U47" s="24" t="s">
        <v>70</v>
      </c>
      <c r="V47" s="24" t="str">
        <f t="shared" si="5"/>
        <v>Mengandung Dummy</v>
      </c>
      <c r="W47" s="24" t="s">
        <v>589</v>
      </c>
    </row>
    <row r="48" spans="1:26" ht="60" customHeight="1">
      <c r="A48" s="24" t="s">
        <v>590</v>
      </c>
      <c r="B48" s="29">
        <v>46203</v>
      </c>
      <c r="C48" s="24" t="s">
        <v>142</v>
      </c>
      <c r="D48" s="24" t="s">
        <v>143</v>
      </c>
      <c r="E48" s="24" t="s">
        <v>76</v>
      </c>
      <c r="F48" s="24" t="s">
        <v>146</v>
      </c>
      <c r="G48" s="24" t="s">
        <v>591</v>
      </c>
      <c r="H48" s="24" t="s">
        <v>592</v>
      </c>
      <c r="I48" s="65">
        <v>0</v>
      </c>
      <c r="J48" s="65">
        <v>8</v>
      </c>
      <c r="K48" s="62">
        <v>8</v>
      </c>
      <c r="L48" s="31" t="s">
        <v>214</v>
      </c>
      <c r="M48" s="67">
        <f t="shared" si="3"/>
        <v>1</v>
      </c>
      <c r="N48" s="24" t="str">
        <f t="shared" si="4"/>
        <v>Tercapai</v>
      </c>
      <c r="O48" s="24" t="s">
        <v>586</v>
      </c>
      <c r="P48" s="24" t="s">
        <v>389</v>
      </c>
      <c r="Q48" s="24" t="s">
        <v>587</v>
      </c>
      <c r="R48" s="24" t="s">
        <v>571</v>
      </c>
      <c r="S48" s="24" t="s">
        <v>72</v>
      </c>
      <c r="T48" s="24" t="s">
        <v>72</v>
      </c>
      <c r="U48" s="24" t="s">
        <v>70</v>
      </c>
      <c r="V48" s="24" t="str">
        <f t="shared" si="5"/>
        <v>Mengandung Dummy</v>
      </c>
      <c r="W48" s="24" t="s">
        <v>589</v>
      </c>
    </row>
    <row r="49" spans="1:23" ht="60" customHeight="1">
      <c r="A49" s="24" t="s">
        <v>593</v>
      </c>
      <c r="B49" s="29">
        <v>46203</v>
      </c>
      <c r="C49" s="24" t="s">
        <v>142</v>
      </c>
      <c r="D49" s="24" t="s">
        <v>143</v>
      </c>
      <c r="E49" s="24" t="s">
        <v>77</v>
      </c>
      <c r="F49" s="24" t="s">
        <v>370</v>
      </c>
      <c r="G49" s="24" t="s">
        <v>594</v>
      </c>
      <c r="H49" s="24" t="s">
        <v>595</v>
      </c>
      <c r="I49" s="61">
        <v>0.35</v>
      </c>
      <c r="J49" s="61">
        <v>0.7</v>
      </c>
      <c r="K49" s="61">
        <v>0.55000000000000004</v>
      </c>
      <c r="L49" s="31" t="s">
        <v>596</v>
      </c>
      <c r="M49" s="67">
        <f t="shared" si="3"/>
        <v>0.78571428571428581</v>
      </c>
      <c r="N49" s="24" t="str">
        <f t="shared" si="4"/>
        <v>Perlu Perhatian</v>
      </c>
      <c r="O49" s="24" t="s">
        <v>597</v>
      </c>
      <c r="P49" s="24" t="s">
        <v>409</v>
      </c>
      <c r="Q49" s="24" t="s">
        <v>587</v>
      </c>
      <c r="R49" s="24" t="s">
        <v>598</v>
      </c>
      <c r="S49" s="24" t="s">
        <v>72</v>
      </c>
      <c r="T49" s="24" t="s">
        <v>72</v>
      </c>
      <c r="U49" s="24" t="s">
        <v>72</v>
      </c>
      <c r="V49" s="24" t="str">
        <f t="shared" si="5"/>
        <v>Mengandung Dummy</v>
      </c>
      <c r="W49" s="24" t="s">
        <v>589</v>
      </c>
    </row>
    <row r="50" spans="1:23" ht="60" customHeight="1">
      <c r="A50" s="24" t="s">
        <v>599</v>
      </c>
      <c r="B50" s="29">
        <v>46203</v>
      </c>
      <c r="C50" s="24" t="s">
        <v>142</v>
      </c>
      <c r="D50" s="24" t="s">
        <v>143</v>
      </c>
      <c r="E50" s="24" t="s">
        <v>78</v>
      </c>
      <c r="F50" s="24" t="s">
        <v>133</v>
      </c>
      <c r="G50" s="24" t="s">
        <v>600</v>
      </c>
      <c r="H50" s="24" t="s">
        <v>601</v>
      </c>
      <c r="I50" s="61">
        <v>0.25</v>
      </c>
      <c r="J50" s="61">
        <v>0.6</v>
      </c>
      <c r="K50" s="61">
        <v>0.45</v>
      </c>
      <c r="L50" s="31" t="s">
        <v>602</v>
      </c>
      <c r="M50" s="67">
        <f t="shared" si="3"/>
        <v>0.75</v>
      </c>
      <c r="N50" s="24" t="str">
        <f t="shared" si="4"/>
        <v>Perlu Perhatian</v>
      </c>
      <c r="O50" s="24" t="s">
        <v>603</v>
      </c>
      <c r="P50" s="24" t="s">
        <v>415</v>
      </c>
      <c r="Q50" s="24" t="s">
        <v>587</v>
      </c>
      <c r="R50" s="24" t="s">
        <v>604</v>
      </c>
      <c r="S50" s="24" t="s">
        <v>72</v>
      </c>
      <c r="T50" s="24" t="s">
        <v>72</v>
      </c>
      <c r="U50" s="24" t="s">
        <v>72</v>
      </c>
      <c r="V50" s="24" t="str">
        <f t="shared" si="5"/>
        <v>Mengandung Dummy</v>
      </c>
      <c r="W50" s="24" t="s">
        <v>417</v>
      </c>
    </row>
    <row r="51" spans="1:23" ht="60" customHeight="1">
      <c r="A51" s="24" t="s">
        <v>605</v>
      </c>
      <c r="B51" s="29">
        <v>46203</v>
      </c>
      <c r="C51" s="24" t="s">
        <v>142</v>
      </c>
      <c r="D51" s="24" t="s">
        <v>143</v>
      </c>
      <c r="E51" s="24" t="s">
        <v>74</v>
      </c>
      <c r="F51" s="24" t="s">
        <v>606</v>
      </c>
      <c r="G51" s="24" t="s">
        <v>447</v>
      </c>
      <c r="H51" s="24" t="s">
        <v>607</v>
      </c>
      <c r="I51" s="65">
        <v>0</v>
      </c>
      <c r="J51" s="65">
        <v>35</v>
      </c>
      <c r="K51" s="65">
        <v>30</v>
      </c>
      <c r="L51" s="31" t="s">
        <v>422</v>
      </c>
      <c r="M51" s="67">
        <f t="shared" si="3"/>
        <v>0.8571428571428571</v>
      </c>
      <c r="N51" s="24" t="str">
        <f t="shared" si="4"/>
        <v>In Progress</v>
      </c>
      <c r="O51" s="24" t="s">
        <v>449</v>
      </c>
      <c r="P51" s="24" t="s">
        <v>389</v>
      </c>
      <c r="Q51" s="24" t="s">
        <v>587</v>
      </c>
      <c r="R51" s="24" t="s">
        <v>451</v>
      </c>
      <c r="S51" s="24" t="s">
        <v>72</v>
      </c>
      <c r="T51" s="24" t="s">
        <v>72</v>
      </c>
      <c r="U51" s="24" t="s">
        <v>72</v>
      </c>
      <c r="V51" s="24" t="str">
        <f t="shared" si="5"/>
        <v>Mengandung Dummy</v>
      </c>
      <c r="W51" s="24"/>
    </row>
    <row r="52" spans="1:23" ht="60" customHeight="1">
      <c r="A52" s="24" t="s">
        <v>608</v>
      </c>
      <c r="B52" s="29">
        <v>46203</v>
      </c>
      <c r="C52" s="24" t="s">
        <v>142</v>
      </c>
      <c r="D52" s="24" t="s">
        <v>143</v>
      </c>
      <c r="E52" s="24" t="s">
        <v>75</v>
      </c>
      <c r="F52" s="24" t="s">
        <v>609</v>
      </c>
      <c r="G52" s="24" t="s">
        <v>610</v>
      </c>
      <c r="H52" s="24" t="s">
        <v>611</v>
      </c>
      <c r="I52" s="65">
        <v>0</v>
      </c>
      <c r="J52" s="65">
        <v>8</v>
      </c>
      <c r="K52" s="65">
        <v>6</v>
      </c>
      <c r="L52" s="31" t="s">
        <v>214</v>
      </c>
      <c r="M52" s="67">
        <f t="shared" si="3"/>
        <v>0.75</v>
      </c>
      <c r="N52" s="24" t="str">
        <f t="shared" si="4"/>
        <v>Perlu Perhatian</v>
      </c>
      <c r="O52" s="24" t="s">
        <v>612</v>
      </c>
      <c r="P52" s="24" t="s">
        <v>389</v>
      </c>
      <c r="Q52" s="24" t="s">
        <v>587</v>
      </c>
      <c r="R52" s="24" t="s">
        <v>613</v>
      </c>
      <c r="S52" s="24" t="s">
        <v>72</v>
      </c>
      <c r="T52" s="24" t="s">
        <v>72</v>
      </c>
      <c r="U52" s="24" t="s">
        <v>72</v>
      </c>
      <c r="V52" s="24" t="str">
        <f t="shared" si="5"/>
        <v>Mengandung Dummy</v>
      </c>
      <c r="W52" s="24"/>
    </row>
    <row r="53" spans="1:23" ht="60" customHeight="1">
      <c r="A53" s="24" t="s">
        <v>614</v>
      </c>
      <c r="B53" s="29">
        <v>46203</v>
      </c>
      <c r="C53" s="24" t="s">
        <v>142</v>
      </c>
      <c r="D53" s="24" t="s">
        <v>143</v>
      </c>
      <c r="E53" s="24" t="s">
        <v>75</v>
      </c>
      <c r="F53" s="24" t="s">
        <v>615</v>
      </c>
      <c r="G53" s="24" t="s">
        <v>616</v>
      </c>
      <c r="H53" s="24" t="s">
        <v>617</v>
      </c>
      <c r="I53" s="65">
        <v>0</v>
      </c>
      <c r="J53" s="65">
        <v>8</v>
      </c>
      <c r="K53" s="65">
        <v>5</v>
      </c>
      <c r="L53" s="31" t="s">
        <v>214</v>
      </c>
      <c r="M53" s="67">
        <f t="shared" si="3"/>
        <v>0.625</v>
      </c>
      <c r="N53" s="24" t="str">
        <f t="shared" si="4"/>
        <v>Perlu Perhatian</v>
      </c>
      <c r="O53" s="24" t="s">
        <v>612</v>
      </c>
      <c r="P53" s="24" t="s">
        <v>389</v>
      </c>
      <c r="Q53" s="24" t="s">
        <v>587</v>
      </c>
      <c r="R53" s="24" t="s">
        <v>613</v>
      </c>
      <c r="S53" s="24" t="s">
        <v>72</v>
      </c>
      <c r="T53" s="24" t="s">
        <v>72</v>
      </c>
      <c r="U53" s="24" t="s">
        <v>72</v>
      </c>
      <c r="V53" s="24" t="str">
        <f t="shared" si="5"/>
        <v>Mengandung Dummy</v>
      </c>
      <c r="W53" s="24"/>
    </row>
    <row r="54" spans="1:23" ht="60" customHeight="1">
      <c r="A54" s="24" t="s">
        <v>618</v>
      </c>
      <c r="B54" s="29">
        <v>46203</v>
      </c>
      <c r="C54" s="24" t="s">
        <v>161</v>
      </c>
      <c r="D54" s="24" t="s">
        <v>162</v>
      </c>
      <c r="E54" s="24" t="s">
        <v>74</v>
      </c>
      <c r="F54" s="24" t="s">
        <v>619</v>
      </c>
      <c r="G54" s="24" t="s">
        <v>620</v>
      </c>
      <c r="H54" s="24" t="s">
        <v>621</v>
      </c>
      <c r="I54" s="65">
        <v>0</v>
      </c>
      <c r="J54" s="65">
        <v>12</v>
      </c>
      <c r="K54" s="65">
        <v>6</v>
      </c>
      <c r="L54" s="31" t="s">
        <v>622</v>
      </c>
      <c r="M54" s="67">
        <f t="shared" si="3"/>
        <v>0.5</v>
      </c>
      <c r="N54" s="24" t="str">
        <f t="shared" si="4"/>
        <v>Perlu Perhatian</v>
      </c>
      <c r="O54" s="24" t="s">
        <v>623</v>
      </c>
      <c r="P54" s="24" t="s">
        <v>389</v>
      </c>
      <c r="Q54" s="24" t="s">
        <v>312</v>
      </c>
      <c r="R54" s="24" t="s">
        <v>624</v>
      </c>
      <c r="S54" s="24" t="s">
        <v>72</v>
      </c>
      <c r="T54" s="24" t="s">
        <v>72</v>
      </c>
      <c r="U54" s="24" t="s">
        <v>72</v>
      </c>
      <c r="V54" s="24" t="str">
        <f t="shared" si="5"/>
        <v>Mengandung Dummy</v>
      </c>
      <c r="W54" s="24"/>
    </row>
    <row r="55" spans="1:23" ht="60" customHeight="1">
      <c r="A55" s="24" t="s">
        <v>625</v>
      </c>
      <c r="B55" s="29">
        <v>46203</v>
      </c>
      <c r="C55" s="24" t="s">
        <v>161</v>
      </c>
      <c r="D55" s="24" t="s">
        <v>162</v>
      </c>
      <c r="E55" s="24" t="s">
        <v>75</v>
      </c>
      <c r="F55" s="24" t="s">
        <v>626</v>
      </c>
      <c r="G55" s="24" t="s">
        <v>627</v>
      </c>
      <c r="H55" s="24" t="s">
        <v>628</v>
      </c>
      <c r="I55" s="65">
        <v>0</v>
      </c>
      <c r="J55" s="64">
        <v>4</v>
      </c>
      <c r="K55" s="65">
        <v>1</v>
      </c>
      <c r="L55" s="31" t="s">
        <v>629</v>
      </c>
      <c r="M55" s="67">
        <f t="shared" si="3"/>
        <v>0.25</v>
      </c>
      <c r="N55" s="24" t="str">
        <f t="shared" si="4"/>
        <v>Perlu Perhatian</v>
      </c>
      <c r="O55" s="24" t="s">
        <v>623</v>
      </c>
      <c r="P55" s="24" t="s">
        <v>409</v>
      </c>
      <c r="Q55" s="24" t="s">
        <v>312</v>
      </c>
      <c r="R55" s="24" t="s">
        <v>630</v>
      </c>
      <c r="S55" s="24" t="s">
        <v>72</v>
      </c>
      <c r="T55" s="24" t="s">
        <v>391</v>
      </c>
      <c r="U55" s="24" t="s">
        <v>72</v>
      </c>
      <c r="V55" s="24" t="str">
        <f t="shared" si="5"/>
        <v>Mengandung Dummy</v>
      </c>
      <c r="W55" s="24"/>
    </row>
    <row r="56" spans="1:23" ht="60" customHeight="1">
      <c r="A56" s="24" t="s">
        <v>631</v>
      </c>
      <c r="B56" s="29">
        <v>46203</v>
      </c>
      <c r="C56" s="24" t="s">
        <v>161</v>
      </c>
      <c r="D56" s="24" t="s">
        <v>162</v>
      </c>
      <c r="E56" s="24" t="s">
        <v>76</v>
      </c>
      <c r="F56" s="24" t="s">
        <v>632</v>
      </c>
      <c r="G56" s="24" t="s">
        <v>633</v>
      </c>
      <c r="H56" s="24" t="s">
        <v>634</v>
      </c>
      <c r="I56" s="65">
        <v>0</v>
      </c>
      <c r="J56" s="62">
        <v>3</v>
      </c>
      <c r="K56" s="65">
        <v>1</v>
      </c>
      <c r="L56" s="31" t="s">
        <v>401</v>
      </c>
      <c r="M56" s="67">
        <f t="shared" si="3"/>
        <v>0.33333333333333331</v>
      </c>
      <c r="N56" s="24" t="str">
        <f t="shared" si="4"/>
        <v>Perlu Perhatian</v>
      </c>
      <c r="O56" s="24" t="s">
        <v>623</v>
      </c>
      <c r="P56" s="24" t="s">
        <v>409</v>
      </c>
      <c r="Q56" s="24" t="s">
        <v>312</v>
      </c>
      <c r="R56" s="24" t="s">
        <v>635</v>
      </c>
      <c r="S56" s="24" t="s">
        <v>72</v>
      </c>
      <c r="T56" s="24" t="s">
        <v>391</v>
      </c>
      <c r="U56" s="24" t="s">
        <v>72</v>
      </c>
      <c r="V56" s="24" t="str">
        <f t="shared" si="5"/>
        <v>Mengandung Dummy</v>
      </c>
      <c r="W56" s="24" t="s">
        <v>589</v>
      </c>
    </row>
    <row r="57" spans="1:23" ht="60" customHeight="1">
      <c r="A57" s="24" t="s">
        <v>636</v>
      </c>
      <c r="B57" s="29">
        <v>46203</v>
      </c>
      <c r="C57" s="24" t="s">
        <v>161</v>
      </c>
      <c r="D57" s="24" t="s">
        <v>162</v>
      </c>
      <c r="E57" s="24" t="s">
        <v>77</v>
      </c>
      <c r="F57" s="24" t="s">
        <v>372</v>
      </c>
      <c r="G57" s="24" t="s">
        <v>637</v>
      </c>
      <c r="H57" s="24" t="s">
        <v>638</v>
      </c>
      <c r="I57" s="61">
        <v>0</v>
      </c>
      <c r="J57" s="61">
        <v>0.8</v>
      </c>
      <c r="K57" s="61">
        <v>0.5</v>
      </c>
      <c r="L57" s="31" t="s">
        <v>639</v>
      </c>
      <c r="M57" s="67">
        <f t="shared" si="3"/>
        <v>0.625</v>
      </c>
      <c r="N57" s="24" t="str">
        <f t="shared" si="4"/>
        <v>Perlu Perhatian</v>
      </c>
      <c r="O57" s="24" t="s">
        <v>623</v>
      </c>
      <c r="P57" s="24" t="s">
        <v>409</v>
      </c>
      <c r="Q57" s="24" t="s">
        <v>312</v>
      </c>
      <c r="R57" s="24" t="s">
        <v>640</v>
      </c>
      <c r="S57" s="24" t="s">
        <v>72</v>
      </c>
      <c r="T57" s="24" t="s">
        <v>72</v>
      </c>
      <c r="U57" s="24" t="s">
        <v>72</v>
      </c>
      <c r="V57" s="24" t="str">
        <f t="shared" si="5"/>
        <v>Mengandung Dummy</v>
      </c>
      <c r="W57" s="24" t="s">
        <v>589</v>
      </c>
    </row>
    <row r="58" spans="1:23" ht="60" customHeight="1">
      <c r="A58" s="24" t="s">
        <v>641</v>
      </c>
      <c r="B58" s="29">
        <v>46203</v>
      </c>
      <c r="C58" s="24" t="s">
        <v>161</v>
      </c>
      <c r="D58" s="24" t="s">
        <v>162</v>
      </c>
      <c r="E58" s="24" t="s">
        <v>78</v>
      </c>
      <c r="F58" s="24" t="s">
        <v>166</v>
      </c>
      <c r="G58" s="24" t="s">
        <v>642</v>
      </c>
      <c r="H58" s="24" t="s">
        <v>643</v>
      </c>
      <c r="I58" s="61">
        <v>0</v>
      </c>
      <c r="J58" s="61">
        <v>0.7</v>
      </c>
      <c r="K58" s="61">
        <v>0.4</v>
      </c>
      <c r="L58" s="31" t="s">
        <v>414</v>
      </c>
      <c r="M58" s="67">
        <f t="shared" si="3"/>
        <v>0.57142857142857151</v>
      </c>
      <c r="N58" s="24" t="str">
        <f t="shared" si="4"/>
        <v>Perlu Perhatian</v>
      </c>
      <c r="O58" s="24" t="s">
        <v>623</v>
      </c>
      <c r="P58" s="24" t="s">
        <v>415</v>
      </c>
      <c r="Q58" s="24" t="s">
        <v>312</v>
      </c>
      <c r="R58" s="24" t="s">
        <v>644</v>
      </c>
      <c r="S58" s="24" t="s">
        <v>72</v>
      </c>
      <c r="T58" s="24" t="s">
        <v>72</v>
      </c>
      <c r="U58" s="24" t="s">
        <v>72</v>
      </c>
      <c r="V58" s="24" t="str">
        <f t="shared" si="5"/>
        <v>Mengandung Dummy</v>
      </c>
      <c r="W58" s="24" t="s">
        <v>417</v>
      </c>
    </row>
    <row r="59" spans="1:23" ht="60" customHeight="1">
      <c r="A59" s="24" t="s">
        <v>645</v>
      </c>
      <c r="B59" s="29">
        <v>46203</v>
      </c>
      <c r="C59" s="24" t="s">
        <v>168</v>
      </c>
      <c r="D59" s="24" t="s">
        <v>169</v>
      </c>
      <c r="E59" s="24" t="s">
        <v>74</v>
      </c>
      <c r="F59" s="24" t="s">
        <v>646</v>
      </c>
      <c r="G59" s="24" t="s">
        <v>647</v>
      </c>
      <c r="H59" s="24" t="s">
        <v>648</v>
      </c>
      <c r="I59" s="65">
        <v>0</v>
      </c>
      <c r="J59" s="64">
        <v>5</v>
      </c>
      <c r="K59" s="65">
        <v>4</v>
      </c>
      <c r="L59" s="31" t="s">
        <v>649</v>
      </c>
      <c r="M59" s="67">
        <f t="shared" si="3"/>
        <v>0.8</v>
      </c>
      <c r="N59" s="24" t="str">
        <f t="shared" si="4"/>
        <v>In Progress</v>
      </c>
      <c r="O59" s="24" t="s">
        <v>650</v>
      </c>
      <c r="P59" s="24" t="s">
        <v>389</v>
      </c>
      <c r="Q59" s="24" t="s">
        <v>317</v>
      </c>
      <c r="R59" s="24" t="s">
        <v>651</v>
      </c>
      <c r="S59" s="24" t="s">
        <v>72</v>
      </c>
      <c r="T59" s="24" t="s">
        <v>391</v>
      </c>
      <c r="U59" s="24" t="s">
        <v>72</v>
      </c>
      <c r="V59" s="24" t="str">
        <f t="shared" si="5"/>
        <v>Mengandung Dummy</v>
      </c>
      <c r="W59" s="24"/>
    </row>
    <row r="60" spans="1:23" ht="60" customHeight="1">
      <c r="A60" s="24" t="s">
        <v>652</v>
      </c>
      <c r="B60" s="29">
        <v>46203</v>
      </c>
      <c r="C60" s="24" t="s">
        <v>168</v>
      </c>
      <c r="D60" s="24" t="s">
        <v>169</v>
      </c>
      <c r="E60" s="24" t="s">
        <v>75</v>
      </c>
      <c r="F60" s="24" t="s">
        <v>653</v>
      </c>
      <c r="G60" s="24" t="s">
        <v>654</v>
      </c>
      <c r="H60" s="24" t="s">
        <v>655</v>
      </c>
      <c r="I60" s="65">
        <v>0</v>
      </c>
      <c r="J60" s="62">
        <v>3</v>
      </c>
      <c r="K60" s="65">
        <v>1</v>
      </c>
      <c r="L60" s="31" t="s">
        <v>629</v>
      </c>
      <c r="M60" s="67">
        <f t="shared" si="3"/>
        <v>0.33333333333333331</v>
      </c>
      <c r="N60" s="24" t="str">
        <f t="shared" si="4"/>
        <v>Perlu Perhatian</v>
      </c>
      <c r="O60" s="24" t="s">
        <v>650</v>
      </c>
      <c r="P60" s="24" t="s">
        <v>389</v>
      </c>
      <c r="Q60" s="24" t="s">
        <v>317</v>
      </c>
      <c r="R60" s="24" t="s">
        <v>656</v>
      </c>
      <c r="S60" s="24" t="s">
        <v>72</v>
      </c>
      <c r="T60" s="24" t="s">
        <v>391</v>
      </c>
      <c r="U60" s="24" t="s">
        <v>72</v>
      </c>
      <c r="V60" s="24" t="str">
        <f t="shared" si="5"/>
        <v>Mengandung Dummy</v>
      </c>
      <c r="W60" s="24"/>
    </row>
    <row r="61" spans="1:23" ht="60" customHeight="1">
      <c r="A61" s="24" t="s">
        <v>657</v>
      </c>
      <c r="B61" s="29">
        <v>46203</v>
      </c>
      <c r="C61" s="24" t="s">
        <v>168</v>
      </c>
      <c r="D61" s="24" t="s">
        <v>169</v>
      </c>
      <c r="E61" s="24" t="s">
        <v>76</v>
      </c>
      <c r="F61" s="24" t="s">
        <v>172</v>
      </c>
      <c r="G61" s="24" t="s">
        <v>658</v>
      </c>
      <c r="H61" s="24" t="s">
        <v>659</v>
      </c>
      <c r="I61" s="65">
        <v>0</v>
      </c>
      <c r="J61" s="64">
        <v>2</v>
      </c>
      <c r="K61" s="65">
        <v>1</v>
      </c>
      <c r="L61" s="31" t="s">
        <v>401</v>
      </c>
      <c r="M61" s="67">
        <f t="shared" si="3"/>
        <v>0.5</v>
      </c>
      <c r="N61" s="24" t="str">
        <f t="shared" si="4"/>
        <v>Perlu Perhatian</v>
      </c>
      <c r="O61" s="24" t="s">
        <v>650</v>
      </c>
      <c r="P61" s="24" t="s">
        <v>389</v>
      </c>
      <c r="Q61" s="24" t="s">
        <v>317</v>
      </c>
      <c r="R61" s="24" t="s">
        <v>660</v>
      </c>
      <c r="S61" s="24" t="s">
        <v>72</v>
      </c>
      <c r="T61" s="24" t="s">
        <v>391</v>
      </c>
      <c r="U61" s="24" t="s">
        <v>72</v>
      </c>
      <c r="V61" s="24" t="str">
        <f t="shared" si="5"/>
        <v>Mengandung Dummy</v>
      </c>
      <c r="W61" s="24" t="s">
        <v>661</v>
      </c>
    </row>
    <row r="62" spans="1:23" ht="60" customHeight="1">
      <c r="A62" s="24" t="s">
        <v>662</v>
      </c>
      <c r="B62" s="29">
        <v>46203</v>
      </c>
      <c r="C62" s="24" t="s">
        <v>168</v>
      </c>
      <c r="D62" s="24" t="s">
        <v>169</v>
      </c>
      <c r="E62" s="24" t="s">
        <v>77</v>
      </c>
      <c r="F62" s="24" t="s">
        <v>374</v>
      </c>
      <c r="G62" s="24" t="s">
        <v>663</v>
      </c>
      <c r="H62" s="24" t="s">
        <v>664</v>
      </c>
      <c r="I62" s="65">
        <v>0</v>
      </c>
      <c r="J62" s="65">
        <v>3</v>
      </c>
      <c r="K62" s="65">
        <v>1</v>
      </c>
      <c r="L62" s="31" t="s">
        <v>649</v>
      </c>
      <c r="M62" s="67">
        <f t="shared" si="3"/>
        <v>0.33333333333333331</v>
      </c>
      <c r="N62" s="24" t="str">
        <f t="shared" si="4"/>
        <v>Perlu Perhatian</v>
      </c>
      <c r="O62" s="24" t="s">
        <v>650</v>
      </c>
      <c r="P62" s="24" t="s">
        <v>409</v>
      </c>
      <c r="Q62" s="24" t="s">
        <v>317</v>
      </c>
      <c r="R62" s="24" t="s">
        <v>665</v>
      </c>
      <c r="S62" s="24" t="s">
        <v>72</v>
      </c>
      <c r="T62" s="24" t="s">
        <v>72</v>
      </c>
      <c r="U62" s="24" t="s">
        <v>72</v>
      </c>
      <c r="V62" s="24" t="str">
        <f t="shared" si="5"/>
        <v>Mengandung Dummy</v>
      </c>
      <c r="W62" s="24" t="s">
        <v>661</v>
      </c>
    </row>
    <row r="63" spans="1:23" ht="60" customHeight="1">
      <c r="A63" s="24" t="s">
        <v>666</v>
      </c>
      <c r="B63" s="29">
        <v>46203</v>
      </c>
      <c r="C63" s="24" t="s">
        <v>168</v>
      </c>
      <c r="D63" s="24" t="s">
        <v>169</v>
      </c>
      <c r="E63" s="24" t="s">
        <v>78</v>
      </c>
      <c r="F63" s="24" t="s">
        <v>174</v>
      </c>
      <c r="G63" s="24" t="s">
        <v>667</v>
      </c>
      <c r="H63" s="24" t="s">
        <v>668</v>
      </c>
      <c r="I63" s="61">
        <v>0</v>
      </c>
      <c r="J63" s="61">
        <v>0.7</v>
      </c>
      <c r="K63" s="61">
        <v>0.45</v>
      </c>
      <c r="L63" s="31" t="s">
        <v>471</v>
      </c>
      <c r="M63" s="67">
        <f t="shared" si="3"/>
        <v>0.6428571428571429</v>
      </c>
      <c r="N63" s="24" t="str">
        <f t="shared" si="4"/>
        <v>Perlu Perhatian</v>
      </c>
      <c r="O63" s="24" t="s">
        <v>650</v>
      </c>
      <c r="P63" s="24" t="s">
        <v>415</v>
      </c>
      <c r="Q63" s="24" t="s">
        <v>317</v>
      </c>
      <c r="R63" s="24" t="s">
        <v>669</v>
      </c>
      <c r="S63" s="24" t="s">
        <v>72</v>
      </c>
      <c r="T63" s="24" t="s">
        <v>72</v>
      </c>
      <c r="U63" s="24" t="s">
        <v>72</v>
      </c>
      <c r="V63" s="24" t="str">
        <f t="shared" si="5"/>
        <v>Mengandung Dummy</v>
      </c>
      <c r="W63" s="24" t="s">
        <v>670</v>
      </c>
    </row>
    <row r="64" spans="1:23" ht="60" customHeight="1">
      <c r="A64" s="24" t="s">
        <v>671</v>
      </c>
      <c r="B64" s="29">
        <v>46203</v>
      </c>
      <c r="C64" s="24" t="s">
        <v>176</v>
      </c>
      <c r="D64" s="24" t="s">
        <v>177</v>
      </c>
      <c r="E64" s="24" t="s">
        <v>74</v>
      </c>
      <c r="F64" s="24" t="s">
        <v>672</v>
      </c>
      <c r="G64" s="24" t="s">
        <v>647</v>
      </c>
      <c r="H64" s="24" t="s">
        <v>648</v>
      </c>
      <c r="I64" s="65">
        <v>0</v>
      </c>
      <c r="J64" s="62">
        <v>6</v>
      </c>
      <c r="K64" s="65">
        <v>5</v>
      </c>
      <c r="L64" s="31" t="s">
        <v>649</v>
      </c>
      <c r="M64" s="67">
        <f t="shared" si="3"/>
        <v>0.83333333333333337</v>
      </c>
      <c r="N64" s="24" t="str">
        <f t="shared" si="4"/>
        <v>In Progress</v>
      </c>
      <c r="O64" s="24" t="s">
        <v>673</v>
      </c>
      <c r="P64" s="24" t="s">
        <v>389</v>
      </c>
      <c r="Q64" s="24" t="s">
        <v>324</v>
      </c>
      <c r="R64" s="24" t="s">
        <v>674</v>
      </c>
      <c r="S64" s="24" t="s">
        <v>72</v>
      </c>
      <c r="T64" s="24" t="s">
        <v>391</v>
      </c>
      <c r="U64" s="24" t="s">
        <v>72</v>
      </c>
      <c r="V64" s="24" t="str">
        <f t="shared" si="5"/>
        <v>Mengandung Dummy</v>
      </c>
      <c r="W64" s="24"/>
    </row>
    <row r="65" spans="1:23" ht="60" customHeight="1">
      <c r="A65" s="24" t="s">
        <v>675</v>
      </c>
      <c r="B65" s="29">
        <v>46203</v>
      </c>
      <c r="C65" s="24" t="s">
        <v>176</v>
      </c>
      <c r="D65" s="24" t="s">
        <v>177</v>
      </c>
      <c r="E65" s="24" t="s">
        <v>75</v>
      </c>
      <c r="F65" s="24" t="s">
        <v>676</v>
      </c>
      <c r="G65" s="24" t="s">
        <v>677</v>
      </c>
      <c r="H65" s="24" t="s">
        <v>678</v>
      </c>
      <c r="I65" s="65">
        <v>0</v>
      </c>
      <c r="J65" s="64">
        <v>4</v>
      </c>
      <c r="K65" s="65">
        <v>3</v>
      </c>
      <c r="L65" s="31" t="s">
        <v>232</v>
      </c>
      <c r="M65" s="67">
        <f t="shared" si="3"/>
        <v>0.75</v>
      </c>
      <c r="N65" s="24" t="str">
        <f t="shared" si="4"/>
        <v>Perlu Perhatian</v>
      </c>
      <c r="O65" s="24" t="s">
        <v>673</v>
      </c>
      <c r="P65" s="24" t="s">
        <v>389</v>
      </c>
      <c r="Q65" s="24" t="s">
        <v>324</v>
      </c>
      <c r="R65" s="24" t="s">
        <v>679</v>
      </c>
      <c r="S65" s="24" t="s">
        <v>72</v>
      </c>
      <c r="T65" s="24" t="s">
        <v>391</v>
      </c>
      <c r="U65" s="24" t="s">
        <v>72</v>
      </c>
      <c r="V65" s="24" t="str">
        <f t="shared" si="5"/>
        <v>Mengandung Dummy</v>
      </c>
      <c r="W65" s="24"/>
    </row>
    <row r="66" spans="1:23" ht="60" customHeight="1">
      <c r="A66" s="24" t="s">
        <v>680</v>
      </c>
      <c r="B66" s="29">
        <v>46203</v>
      </c>
      <c r="C66" s="24" t="s">
        <v>176</v>
      </c>
      <c r="D66" s="24" t="s">
        <v>177</v>
      </c>
      <c r="E66" s="24" t="s">
        <v>76</v>
      </c>
      <c r="F66" s="24" t="s">
        <v>180</v>
      </c>
      <c r="G66" s="24" t="s">
        <v>681</v>
      </c>
      <c r="H66" s="24" t="s">
        <v>682</v>
      </c>
      <c r="I66" s="65">
        <v>0</v>
      </c>
      <c r="J66" s="62">
        <v>2</v>
      </c>
      <c r="K66" s="65">
        <v>1</v>
      </c>
      <c r="L66" s="31" t="s">
        <v>401</v>
      </c>
      <c r="M66" s="67">
        <f t="shared" si="3"/>
        <v>0.5</v>
      </c>
      <c r="N66" s="24" t="str">
        <f t="shared" si="4"/>
        <v>Perlu Perhatian</v>
      </c>
      <c r="O66" s="24" t="s">
        <v>673</v>
      </c>
      <c r="P66" s="24" t="s">
        <v>389</v>
      </c>
      <c r="Q66" s="24" t="s">
        <v>324</v>
      </c>
      <c r="R66" s="24" t="s">
        <v>683</v>
      </c>
      <c r="S66" s="24" t="s">
        <v>72</v>
      </c>
      <c r="T66" s="24" t="s">
        <v>391</v>
      </c>
      <c r="U66" s="24" t="s">
        <v>72</v>
      </c>
      <c r="V66" s="24" t="str">
        <f t="shared" si="5"/>
        <v>Mengandung Dummy</v>
      </c>
      <c r="W66" s="24" t="s">
        <v>684</v>
      </c>
    </row>
    <row r="67" spans="1:23" ht="60" customHeight="1">
      <c r="A67" s="24" t="s">
        <v>685</v>
      </c>
      <c r="B67" s="29">
        <v>46203</v>
      </c>
      <c r="C67" s="24" t="s">
        <v>176</v>
      </c>
      <c r="D67" s="24" t="s">
        <v>177</v>
      </c>
      <c r="E67" s="24" t="s">
        <v>77</v>
      </c>
      <c r="F67" s="24" t="s">
        <v>376</v>
      </c>
      <c r="G67" s="24" t="s">
        <v>686</v>
      </c>
      <c r="H67" s="24" t="s">
        <v>687</v>
      </c>
      <c r="I67" s="61">
        <v>0</v>
      </c>
      <c r="J67" s="60">
        <v>0.7</v>
      </c>
      <c r="K67" s="61">
        <v>0.65</v>
      </c>
      <c r="L67" s="31" t="s">
        <v>688</v>
      </c>
      <c r="M67" s="67">
        <f t="shared" si="3"/>
        <v>0.92857142857142871</v>
      </c>
      <c r="N67" s="24" t="str">
        <f t="shared" si="4"/>
        <v>In Progress</v>
      </c>
      <c r="O67" s="24" t="s">
        <v>673</v>
      </c>
      <c r="P67" s="24" t="s">
        <v>409</v>
      </c>
      <c r="Q67" s="24" t="s">
        <v>324</v>
      </c>
      <c r="R67" s="24" t="s">
        <v>689</v>
      </c>
      <c r="S67" s="24" t="s">
        <v>72</v>
      </c>
      <c r="T67" s="24" t="s">
        <v>391</v>
      </c>
      <c r="U67" s="24" t="s">
        <v>72</v>
      </c>
      <c r="V67" s="24" t="str">
        <f t="shared" si="5"/>
        <v>Mengandung Dummy</v>
      </c>
      <c r="W67" s="24" t="s">
        <v>684</v>
      </c>
    </row>
    <row r="68" spans="1:23" ht="60" customHeight="1">
      <c r="A68" s="24" t="s">
        <v>690</v>
      </c>
      <c r="B68" s="29">
        <v>46203</v>
      </c>
      <c r="C68" s="24" t="s">
        <v>176</v>
      </c>
      <c r="D68" s="24" t="s">
        <v>177</v>
      </c>
      <c r="E68" s="24" t="s">
        <v>78</v>
      </c>
      <c r="F68" s="24" t="s">
        <v>182</v>
      </c>
      <c r="G68" s="24" t="s">
        <v>691</v>
      </c>
      <c r="H68" s="24" t="s">
        <v>692</v>
      </c>
      <c r="I68" s="65">
        <v>0</v>
      </c>
      <c r="J68" s="62">
        <v>9</v>
      </c>
      <c r="K68" s="65">
        <v>6</v>
      </c>
      <c r="L68" s="31" t="s">
        <v>693</v>
      </c>
      <c r="M68" s="67">
        <f t="shared" si="3"/>
        <v>0.66666666666666663</v>
      </c>
      <c r="N68" s="24" t="str">
        <f t="shared" si="4"/>
        <v>Perlu Perhatian</v>
      </c>
      <c r="O68" s="24" t="s">
        <v>673</v>
      </c>
      <c r="P68" s="24" t="s">
        <v>415</v>
      </c>
      <c r="Q68" s="24" t="s">
        <v>324</v>
      </c>
      <c r="R68" s="24" t="s">
        <v>694</v>
      </c>
      <c r="S68" s="24" t="s">
        <v>72</v>
      </c>
      <c r="T68" s="24" t="s">
        <v>391</v>
      </c>
      <c r="U68" s="24" t="s">
        <v>72</v>
      </c>
      <c r="V68" s="24" t="str">
        <f t="shared" si="5"/>
        <v>Mengandung Dummy</v>
      </c>
      <c r="W68" s="24" t="s">
        <v>670</v>
      </c>
    </row>
    <row r="69" spans="1:23" ht="60" customHeight="1">
      <c r="A69" s="24" t="s">
        <v>695</v>
      </c>
      <c r="B69" s="29">
        <v>46203</v>
      </c>
      <c r="C69" s="24" t="s">
        <v>184</v>
      </c>
      <c r="D69" s="24" t="s">
        <v>185</v>
      </c>
      <c r="E69" s="24" t="s">
        <v>74</v>
      </c>
      <c r="F69" s="24" t="s">
        <v>696</v>
      </c>
      <c r="G69" s="24" t="s">
        <v>647</v>
      </c>
      <c r="H69" s="24" t="s">
        <v>648</v>
      </c>
      <c r="I69" s="65">
        <v>0</v>
      </c>
      <c r="J69" s="64">
        <v>4</v>
      </c>
      <c r="K69" s="65">
        <v>3</v>
      </c>
      <c r="L69" s="31" t="s">
        <v>649</v>
      </c>
      <c r="M69" s="67">
        <f t="shared" si="3"/>
        <v>0.75</v>
      </c>
      <c r="N69" s="24" t="str">
        <f t="shared" si="4"/>
        <v>Perlu Perhatian</v>
      </c>
      <c r="O69" s="24" t="s">
        <v>697</v>
      </c>
      <c r="P69" s="24" t="s">
        <v>389</v>
      </c>
      <c r="Q69" s="24" t="s">
        <v>330</v>
      </c>
      <c r="R69" s="24" t="s">
        <v>698</v>
      </c>
      <c r="S69" s="24" t="s">
        <v>72</v>
      </c>
      <c r="T69" s="24" t="s">
        <v>391</v>
      </c>
      <c r="U69" s="24" t="s">
        <v>72</v>
      </c>
      <c r="V69" s="24" t="str">
        <f t="shared" si="5"/>
        <v>Mengandung Dummy</v>
      </c>
      <c r="W69" s="24"/>
    </row>
    <row r="70" spans="1:23" ht="60" customHeight="1">
      <c r="A70" s="24" t="s">
        <v>699</v>
      </c>
      <c r="B70" s="29">
        <v>46203</v>
      </c>
      <c r="C70" s="24" t="s">
        <v>184</v>
      </c>
      <c r="D70" s="24" t="s">
        <v>185</v>
      </c>
      <c r="E70" s="24" t="s">
        <v>75</v>
      </c>
      <c r="F70" s="24" t="s">
        <v>700</v>
      </c>
      <c r="G70" s="24" t="s">
        <v>701</v>
      </c>
      <c r="H70" s="24" t="s">
        <v>702</v>
      </c>
      <c r="I70" s="65">
        <v>0</v>
      </c>
      <c r="J70" s="62">
        <v>2</v>
      </c>
      <c r="K70" s="65">
        <v>1</v>
      </c>
      <c r="L70" s="31" t="s">
        <v>232</v>
      </c>
      <c r="M70" s="67">
        <f t="shared" si="3"/>
        <v>0.5</v>
      </c>
      <c r="N70" s="24" t="str">
        <f t="shared" si="4"/>
        <v>Perlu Perhatian</v>
      </c>
      <c r="O70" s="24" t="s">
        <v>697</v>
      </c>
      <c r="P70" s="24" t="s">
        <v>389</v>
      </c>
      <c r="Q70" s="24" t="s">
        <v>330</v>
      </c>
      <c r="R70" s="24" t="s">
        <v>656</v>
      </c>
      <c r="S70" s="24" t="s">
        <v>72</v>
      </c>
      <c r="T70" s="24" t="s">
        <v>391</v>
      </c>
      <c r="U70" s="24" t="s">
        <v>72</v>
      </c>
      <c r="V70" s="24" t="str">
        <f t="shared" si="5"/>
        <v>Mengandung Dummy</v>
      </c>
      <c r="W70" s="24"/>
    </row>
    <row r="71" spans="1:23" ht="60" customHeight="1">
      <c r="A71" s="24" t="s">
        <v>703</v>
      </c>
      <c r="B71" s="29">
        <v>46203</v>
      </c>
      <c r="C71" s="24" t="s">
        <v>184</v>
      </c>
      <c r="D71" s="24" t="s">
        <v>185</v>
      </c>
      <c r="E71" s="24" t="s">
        <v>76</v>
      </c>
      <c r="F71" s="24" t="s">
        <v>188</v>
      </c>
      <c r="G71" s="24" t="s">
        <v>704</v>
      </c>
      <c r="H71" s="24" t="s">
        <v>705</v>
      </c>
      <c r="I71" s="65">
        <v>0</v>
      </c>
      <c r="J71" s="64">
        <v>2</v>
      </c>
      <c r="K71" s="65">
        <v>1</v>
      </c>
      <c r="L71" s="31" t="s">
        <v>401</v>
      </c>
      <c r="M71" s="67">
        <f t="shared" si="3"/>
        <v>0.5</v>
      </c>
      <c r="N71" s="24" t="str">
        <f t="shared" si="4"/>
        <v>Perlu Perhatian</v>
      </c>
      <c r="O71" s="24" t="s">
        <v>697</v>
      </c>
      <c r="P71" s="24" t="s">
        <v>389</v>
      </c>
      <c r="Q71" s="24" t="s">
        <v>330</v>
      </c>
      <c r="R71" s="24" t="s">
        <v>706</v>
      </c>
      <c r="S71" s="24" t="s">
        <v>72</v>
      </c>
      <c r="T71" s="24" t="s">
        <v>391</v>
      </c>
      <c r="U71" s="24" t="s">
        <v>72</v>
      </c>
      <c r="V71" s="24" t="str">
        <f t="shared" si="5"/>
        <v>Mengandung Dummy</v>
      </c>
      <c r="W71" s="24" t="s">
        <v>684</v>
      </c>
    </row>
    <row r="72" spans="1:23" ht="60" customHeight="1">
      <c r="A72" s="24" t="s">
        <v>707</v>
      </c>
      <c r="B72" s="29">
        <v>46203</v>
      </c>
      <c r="C72" s="24" t="s">
        <v>184</v>
      </c>
      <c r="D72" s="24" t="s">
        <v>185</v>
      </c>
      <c r="E72" s="24" t="s">
        <v>77</v>
      </c>
      <c r="F72" s="24" t="s">
        <v>378</v>
      </c>
      <c r="G72" s="24" t="s">
        <v>708</v>
      </c>
      <c r="H72" s="24" t="s">
        <v>709</v>
      </c>
      <c r="I72" s="61">
        <v>0</v>
      </c>
      <c r="J72" s="63">
        <v>0.6</v>
      </c>
      <c r="K72" s="61">
        <v>0.55000000000000004</v>
      </c>
      <c r="L72" s="31" t="s">
        <v>471</v>
      </c>
      <c r="M72" s="67">
        <f t="shared" si="3"/>
        <v>0.91666666666666674</v>
      </c>
      <c r="N72" s="24" t="str">
        <f t="shared" si="4"/>
        <v>In Progress</v>
      </c>
      <c r="O72" s="24" t="s">
        <v>697</v>
      </c>
      <c r="P72" s="24" t="s">
        <v>409</v>
      </c>
      <c r="Q72" s="24" t="s">
        <v>330</v>
      </c>
      <c r="R72" s="24" t="s">
        <v>710</v>
      </c>
      <c r="S72" s="24" t="s">
        <v>72</v>
      </c>
      <c r="T72" s="24" t="s">
        <v>391</v>
      </c>
      <c r="U72" s="24" t="s">
        <v>72</v>
      </c>
      <c r="V72" s="24" t="str">
        <f t="shared" si="5"/>
        <v>Mengandung Dummy</v>
      </c>
      <c r="W72" s="24" t="s">
        <v>684</v>
      </c>
    </row>
    <row r="73" spans="1:23" ht="60" customHeight="1">
      <c r="A73" s="24" t="s">
        <v>711</v>
      </c>
      <c r="B73" s="29">
        <v>46203</v>
      </c>
      <c r="C73" s="24" t="s">
        <v>184</v>
      </c>
      <c r="D73" s="24" t="s">
        <v>185</v>
      </c>
      <c r="E73" s="24" t="s">
        <v>78</v>
      </c>
      <c r="F73" s="24" t="s">
        <v>190</v>
      </c>
      <c r="G73" s="24" t="s">
        <v>712</v>
      </c>
      <c r="H73" s="24" t="s">
        <v>713</v>
      </c>
      <c r="I73" s="61">
        <v>0</v>
      </c>
      <c r="J73" s="61">
        <v>0.7</v>
      </c>
      <c r="K73" s="61">
        <v>0.45</v>
      </c>
      <c r="L73" s="31" t="s">
        <v>471</v>
      </c>
      <c r="M73" s="67">
        <f t="shared" si="3"/>
        <v>0.6428571428571429</v>
      </c>
      <c r="N73" s="24" t="str">
        <f t="shared" si="4"/>
        <v>Perlu Perhatian</v>
      </c>
      <c r="O73" s="24" t="s">
        <v>697</v>
      </c>
      <c r="P73" s="24" t="s">
        <v>415</v>
      </c>
      <c r="Q73" s="24" t="s">
        <v>330</v>
      </c>
      <c r="R73" s="24" t="s">
        <v>714</v>
      </c>
      <c r="S73" s="24" t="s">
        <v>72</v>
      </c>
      <c r="T73" s="24" t="s">
        <v>72</v>
      </c>
      <c r="U73" s="24" t="s">
        <v>72</v>
      </c>
      <c r="V73" s="24" t="str">
        <f t="shared" si="5"/>
        <v>Mengandung Dummy</v>
      </c>
      <c r="W73" s="24" t="s">
        <v>670</v>
      </c>
    </row>
    <row r="74" spans="1:23" ht="60" customHeight="1">
      <c r="A74" s="24" t="s">
        <v>715</v>
      </c>
      <c r="B74" s="29">
        <v>46203</v>
      </c>
      <c r="C74" s="24" t="s">
        <v>192</v>
      </c>
      <c r="D74" s="24" t="s">
        <v>193</v>
      </c>
      <c r="E74" s="24" t="s">
        <v>74</v>
      </c>
      <c r="F74" s="24" t="s">
        <v>716</v>
      </c>
      <c r="G74" s="24" t="s">
        <v>717</v>
      </c>
      <c r="H74" s="24" t="s">
        <v>718</v>
      </c>
      <c r="I74" s="65">
        <v>0</v>
      </c>
      <c r="J74" s="65">
        <v>12</v>
      </c>
      <c r="K74" s="65">
        <v>5</v>
      </c>
      <c r="L74" s="31" t="s">
        <v>719</v>
      </c>
      <c r="M74" s="67">
        <f t="shared" si="3"/>
        <v>0.41666666666666669</v>
      </c>
      <c r="N74" s="24" t="str">
        <f t="shared" si="4"/>
        <v>Perlu Perhatian</v>
      </c>
      <c r="O74" s="24" t="s">
        <v>720</v>
      </c>
      <c r="P74" s="24" t="s">
        <v>389</v>
      </c>
      <c r="Q74" s="24" t="s">
        <v>335</v>
      </c>
      <c r="R74" s="24" t="s">
        <v>721</v>
      </c>
      <c r="S74" s="24" t="s">
        <v>72</v>
      </c>
      <c r="T74" s="24" t="s">
        <v>72</v>
      </c>
      <c r="U74" s="24" t="s">
        <v>72</v>
      </c>
      <c r="V74" s="24" t="str">
        <f t="shared" si="5"/>
        <v>Mengandung Dummy</v>
      </c>
      <c r="W74" s="24" t="s">
        <v>722</v>
      </c>
    </row>
    <row r="75" spans="1:23" ht="60" customHeight="1">
      <c r="A75" s="24" t="s">
        <v>723</v>
      </c>
      <c r="B75" s="29">
        <v>46203</v>
      </c>
      <c r="C75" s="24" t="s">
        <v>192</v>
      </c>
      <c r="D75" s="24" t="s">
        <v>193</v>
      </c>
      <c r="E75" s="24" t="s">
        <v>75</v>
      </c>
      <c r="F75" s="24" t="s">
        <v>724</v>
      </c>
      <c r="G75" s="24" t="s">
        <v>725</v>
      </c>
      <c r="H75" s="24" t="s">
        <v>726</v>
      </c>
      <c r="I75" s="61">
        <v>0</v>
      </c>
      <c r="J75" s="60">
        <v>1</v>
      </c>
      <c r="K75" s="61">
        <v>0.25</v>
      </c>
      <c r="L75" s="31" t="s">
        <v>396</v>
      </c>
      <c r="M75" s="67">
        <f t="shared" si="3"/>
        <v>0.25</v>
      </c>
      <c r="N75" s="24" t="str">
        <f t="shared" si="4"/>
        <v>Perlu Perhatian</v>
      </c>
      <c r="O75" s="24" t="s">
        <v>720</v>
      </c>
      <c r="P75" s="24" t="s">
        <v>389</v>
      </c>
      <c r="Q75" s="24" t="s">
        <v>335</v>
      </c>
      <c r="R75" s="24" t="s">
        <v>727</v>
      </c>
      <c r="S75" s="24" t="s">
        <v>72</v>
      </c>
      <c r="T75" s="24" t="s">
        <v>391</v>
      </c>
      <c r="U75" s="24" t="s">
        <v>72</v>
      </c>
      <c r="V75" s="24" t="str">
        <f t="shared" si="5"/>
        <v>Mengandung Dummy</v>
      </c>
      <c r="W75" s="24" t="s">
        <v>728</v>
      </c>
    </row>
    <row r="76" spans="1:23" ht="60" customHeight="1">
      <c r="A76" s="24" t="s">
        <v>729</v>
      </c>
      <c r="B76" s="29">
        <v>46203</v>
      </c>
      <c r="C76" s="24" t="s">
        <v>192</v>
      </c>
      <c r="D76" s="24" t="s">
        <v>193</v>
      </c>
      <c r="E76" s="24" t="s">
        <v>76</v>
      </c>
      <c r="F76" s="24" t="s">
        <v>196</v>
      </c>
      <c r="G76" s="24" t="s">
        <v>730</v>
      </c>
      <c r="H76" s="24" t="s">
        <v>731</v>
      </c>
      <c r="I76" s="65">
        <v>0</v>
      </c>
      <c r="J76" s="62">
        <v>1</v>
      </c>
      <c r="K76" s="65">
        <v>0</v>
      </c>
      <c r="L76" s="31" t="s">
        <v>732</v>
      </c>
      <c r="M76" s="67">
        <f t="shared" si="3"/>
        <v>0</v>
      </c>
      <c r="N76" s="24" t="str">
        <f t="shared" si="4"/>
        <v>Perlu Perhatian</v>
      </c>
      <c r="O76" s="24" t="s">
        <v>720</v>
      </c>
      <c r="P76" s="24" t="s">
        <v>733</v>
      </c>
      <c r="Q76" s="24" t="s">
        <v>335</v>
      </c>
      <c r="R76" s="24" t="s">
        <v>734</v>
      </c>
      <c r="S76" s="24" t="s">
        <v>72</v>
      </c>
      <c r="T76" s="24" t="s">
        <v>391</v>
      </c>
      <c r="U76" s="24" t="s">
        <v>72</v>
      </c>
      <c r="V76" s="24" t="str">
        <f t="shared" si="5"/>
        <v>Mengandung Dummy</v>
      </c>
      <c r="W76" s="24" t="s">
        <v>735</v>
      </c>
    </row>
    <row r="77" spans="1:23" ht="60" customHeight="1">
      <c r="A77" s="24" t="s">
        <v>736</v>
      </c>
      <c r="B77" s="29">
        <v>46203</v>
      </c>
      <c r="C77" s="24" t="s">
        <v>192</v>
      </c>
      <c r="D77" s="24" t="s">
        <v>193</v>
      </c>
      <c r="E77" s="24" t="s">
        <v>77</v>
      </c>
      <c r="F77" s="24" t="s">
        <v>380</v>
      </c>
      <c r="G77" s="24" t="s">
        <v>737</v>
      </c>
      <c r="H77" s="24" t="s">
        <v>738</v>
      </c>
      <c r="I77" s="61">
        <v>0</v>
      </c>
      <c r="J77" s="60">
        <v>0.7</v>
      </c>
      <c r="K77" s="61">
        <v>0.3</v>
      </c>
      <c r="L77" s="31" t="s">
        <v>471</v>
      </c>
      <c r="M77" s="67">
        <f t="shared" si="3"/>
        <v>0.4285714285714286</v>
      </c>
      <c r="N77" s="24" t="str">
        <f t="shared" si="4"/>
        <v>Perlu Perhatian</v>
      </c>
      <c r="O77" s="24" t="s">
        <v>720</v>
      </c>
      <c r="P77" s="24" t="s">
        <v>409</v>
      </c>
      <c r="Q77" s="24" t="s">
        <v>335</v>
      </c>
      <c r="R77" s="24" t="s">
        <v>739</v>
      </c>
      <c r="S77" s="24" t="s">
        <v>72</v>
      </c>
      <c r="T77" s="24" t="s">
        <v>391</v>
      </c>
      <c r="U77" s="24" t="s">
        <v>72</v>
      </c>
      <c r="V77" s="24" t="str">
        <f t="shared" si="5"/>
        <v>Mengandung Dummy</v>
      </c>
      <c r="W77" s="24" t="s">
        <v>661</v>
      </c>
    </row>
    <row r="78" spans="1:23" ht="60" customHeight="1">
      <c r="A78" s="24" t="s">
        <v>740</v>
      </c>
      <c r="B78" s="29">
        <v>46203</v>
      </c>
      <c r="C78" s="24" t="s">
        <v>192</v>
      </c>
      <c r="D78" s="24" t="s">
        <v>193</v>
      </c>
      <c r="E78" s="24" t="s">
        <v>78</v>
      </c>
      <c r="F78" s="24" t="s">
        <v>198</v>
      </c>
      <c r="G78" s="24" t="s">
        <v>741</v>
      </c>
      <c r="H78" s="24" t="s">
        <v>742</v>
      </c>
      <c r="I78" s="61">
        <v>0</v>
      </c>
      <c r="J78" s="61">
        <v>0.5</v>
      </c>
      <c r="K78" s="61">
        <v>0.25</v>
      </c>
      <c r="L78" s="31" t="s">
        <v>471</v>
      </c>
      <c r="M78" s="67">
        <f t="shared" si="3"/>
        <v>0.5</v>
      </c>
      <c r="N78" s="24" t="str">
        <f t="shared" si="4"/>
        <v>Perlu Perhatian</v>
      </c>
      <c r="O78" s="24" t="s">
        <v>720</v>
      </c>
      <c r="P78" s="24" t="s">
        <v>733</v>
      </c>
      <c r="Q78" s="24" t="s">
        <v>335</v>
      </c>
      <c r="R78" s="24" t="s">
        <v>743</v>
      </c>
      <c r="S78" s="24" t="s">
        <v>72</v>
      </c>
      <c r="T78" s="24" t="s">
        <v>72</v>
      </c>
      <c r="U78" s="24" t="s">
        <v>72</v>
      </c>
      <c r="V78" s="24" t="str">
        <f t="shared" si="5"/>
        <v>Mengandung Dummy</v>
      </c>
      <c r="W78" s="24" t="s">
        <v>670</v>
      </c>
    </row>
    <row r="79" spans="1:23" ht="13.5" customHeight="1"/>
    <row r="80" spans="1:23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W1"/>
    <mergeCell ref="A2:W3"/>
    <mergeCell ref="A5:W5"/>
  </mergeCells>
  <conditionalFormatting sqref="N8:N43">
    <cfRule type="expression" dxfId="14" priority="1">
      <formula>$N8="Tercapai"</formula>
    </cfRule>
    <cfRule type="expression" dxfId="13" priority="2">
      <formula>$N8="In Progress"</formula>
    </cfRule>
    <cfRule type="expression" dxfId="12" priority="3">
      <formula>$N8="Perlu Perhatian"</formula>
    </cfRule>
  </conditionalFormatting>
  <conditionalFormatting sqref="N8:N78">
    <cfRule type="expression" dxfId="11" priority="4">
      <formula>$N8="Tercapai"</formula>
    </cfRule>
    <cfRule type="expression" dxfId="10" priority="5">
      <formula>$N8="In Progress"</formula>
    </cfRule>
    <cfRule type="expression" dxfId="9" priority="6">
      <formula>$N8="Perlu Perhatian"</formula>
    </cfRule>
    <cfRule type="expression" dxfId="8" priority="7">
      <formula>$N8="Belum Ada Data"</formula>
    </cfRule>
  </conditionalFormatting>
  <dataValidations count="4">
    <dataValidation type="list" allowBlank="1" sqref="P8:P43" xr:uid="{00000000-0002-0000-0200-000000000000}">
      <formula1>"Bulanan,Triwulanan,Semesteran,Tahunan"</formula1>
    </dataValidation>
    <dataValidation type="list" allowBlank="1" sqref="E8:E43" xr:uid="{00000000-0002-0000-0200-000001000000}">
      <formula1>"Input,Activity,Output,Outcome,Impact"</formula1>
    </dataValidation>
    <dataValidation type="list" sqref="E44:E78" xr:uid="{00000000-0002-0000-0200-000002000000}">
      <formula1>"Input,Activity,Output,Outcome,Impact"</formula1>
    </dataValidation>
    <dataValidation type="list" sqref="P44:P78" xr:uid="{00000000-0002-0000-0200-000003000000}">
      <formula1>"Bulanan,Triwulanan,Semesteran,Tahunan"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/>
  </sheetViews>
  <sheetFormatPr defaultColWidth="12.6640625" defaultRowHeight="14"/>
  <cols>
    <col min="1" max="1" width="10" customWidth="1"/>
    <col min="2" max="2" width="30" customWidth="1"/>
    <col min="3" max="3" width="34" customWidth="1"/>
    <col min="4" max="5" width="38" customWidth="1"/>
    <col min="6" max="6" width="36" customWidth="1"/>
    <col min="7" max="7" width="34" customWidth="1"/>
    <col min="8" max="8" width="46" customWidth="1"/>
    <col min="9" max="26" width="8.6640625" customWidth="1"/>
  </cols>
  <sheetData>
    <row r="1" spans="1:8" ht="30" customHeight="1">
      <c r="A1" s="71" t="s">
        <v>744</v>
      </c>
      <c r="B1" s="69"/>
      <c r="C1" s="69"/>
      <c r="D1" s="69"/>
      <c r="E1" s="69"/>
      <c r="F1" s="69"/>
      <c r="G1" s="69"/>
      <c r="H1" s="70"/>
    </row>
    <row r="2" spans="1:8" ht="31.5" customHeight="1">
      <c r="A2" s="72" t="s">
        <v>109</v>
      </c>
      <c r="B2" s="73" t="s">
        <v>109</v>
      </c>
      <c r="C2" s="73" t="s">
        <v>109</v>
      </c>
      <c r="D2" s="73" t="s">
        <v>109</v>
      </c>
      <c r="E2" s="73" t="s">
        <v>109</v>
      </c>
      <c r="F2" s="73" t="s">
        <v>109</v>
      </c>
      <c r="G2" s="73" t="s">
        <v>109</v>
      </c>
      <c r="H2" s="74" t="s">
        <v>109</v>
      </c>
    </row>
    <row r="3" spans="1:8" ht="31.5" customHeight="1">
      <c r="A3" s="75" t="s">
        <v>109</v>
      </c>
      <c r="B3" s="76" t="s">
        <v>109</v>
      </c>
      <c r="C3" s="76" t="s">
        <v>109</v>
      </c>
      <c r="D3" s="76" t="s">
        <v>109</v>
      </c>
      <c r="E3" s="76" t="s">
        <v>109</v>
      </c>
      <c r="F3" s="76" t="s">
        <v>109</v>
      </c>
      <c r="G3" s="76" t="s">
        <v>109</v>
      </c>
      <c r="H3" s="77" t="s">
        <v>109</v>
      </c>
    </row>
    <row r="4" spans="1:8" ht="13.5" customHeight="1"/>
    <row r="5" spans="1:8" ht="13.5" customHeight="1">
      <c r="A5" s="1" t="s">
        <v>93</v>
      </c>
      <c r="B5" s="1" t="s">
        <v>62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110</v>
      </c>
    </row>
    <row r="6" spans="1:8" ht="105" customHeight="1">
      <c r="A6" s="2" t="s">
        <v>111</v>
      </c>
      <c r="B6" s="2" t="s">
        <v>112</v>
      </c>
      <c r="C6" s="3" t="s">
        <v>113</v>
      </c>
      <c r="D6" s="4" t="s">
        <v>114</v>
      </c>
      <c r="E6" s="5" t="s">
        <v>115</v>
      </c>
      <c r="F6" s="6" t="s">
        <v>116</v>
      </c>
      <c r="G6" s="8" t="s">
        <v>117</v>
      </c>
      <c r="H6" s="9" t="s">
        <v>118</v>
      </c>
    </row>
    <row r="7" spans="1:8" ht="105" customHeight="1">
      <c r="A7" s="2" t="s">
        <v>119</v>
      </c>
      <c r="B7" s="2" t="s">
        <v>120</v>
      </c>
      <c r="C7" s="3" t="s">
        <v>121</v>
      </c>
      <c r="D7" s="4" t="s">
        <v>122</v>
      </c>
      <c r="E7" s="5" t="s">
        <v>123</v>
      </c>
      <c r="F7" s="6" t="s">
        <v>124</v>
      </c>
      <c r="G7" s="8" t="s">
        <v>125</v>
      </c>
      <c r="H7" s="9" t="s">
        <v>126</v>
      </c>
    </row>
    <row r="8" spans="1:8" ht="105" customHeight="1">
      <c r="A8" s="2" t="s">
        <v>127</v>
      </c>
      <c r="B8" s="2" t="s">
        <v>128</v>
      </c>
      <c r="C8" s="3" t="s">
        <v>129</v>
      </c>
      <c r="D8" s="4" t="s">
        <v>130</v>
      </c>
      <c r="E8" s="5" t="s">
        <v>131</v>
      </c>
      <c r="F8" s="6" t="s">
        <v>132</v>
      </c>
      <c r="G8" s="8" t="s">
        <v>133</v>
      </c>
      <c r="H8" s="9" t="s">
        <v>134</v>
      </c>
    </row>
    <row r="9" spans="1:8" ht="105" customHeight="1">
      <c r="A9" s="2" t="s">
        <v>135</v>
      </c>
      <c r="B9" s="2" t="s">
        <v>136</v>
      </c>
      <c r="C9" s="3" t="s">
        <v>137</v>
      </c>
      <c r="D9" s="4" t="s">
        <v>138</v>
      </c>
      <c r="E9" s="5" t="s">
        <v>139</v>
      </c>
      <c r="F9" s="6" t="s">
        <v>140</v>
      </c>
      <c r="G9" s="8" t="s">
        <v>125</v>
      </c>
      <c r="H9" s="9" t="s">
        <v>141</v>
      </c>
    </row>
    <row r="10" spans="1:8" ht="105" customHeight="1">
      <c r="A10" s="2" t="s">
        <v>142</v>
      </c>
      <c r="B10" s="2" t="s">
        <v>143</v>
      </c>
      <c r="C10" s="3" t="s">
        <v>144</v>
      </c>
      <c r="D10" s="4" t="s">
        <v>145</v>
      </c>
      <c r="E10" s="5" t="s">
        <v>146</v>
      </c>
      <c r="F10" s="6" t="s">
        <v>147</v>
      </c>
      <c r="G10" s="8" t="s">
        <v>133</v>
      </c>
      <c r="H10" s="9" t="s">
        <v>148</v>
      </c>
    </row>
    <row r="11" spans="1:8" ht="105" customHeight="1">
      <c r="A11" s="2" t="s">
        <v>149</v>
      </c>
      <c r="B11" s="2" t="s">
        <v>150</v>
      </c>
      <c r="C11" s="26" t="s">
        <v>151</v>
      </c>
      <c r="D11" s="27" t="s">
        <v>152</v>
      </c>
      <c r="E11" s="5" t="s">
        <v>153</v>
      </c>
      <c r="F11" s="6" t="s">
        <v>745</v>
      </c>
      <c r="G11" s="8" t="s">
        <v>117</v>
      </c>
      <c r="H11" s="9" t="s">
        <v>154</v>
      </c>
    </row>
    <row r="12" spans="1:8" ht="105" customHeight="1">
      <c r="A12" s="2" t="s">
        <v>155</v>
      </c>
      <c r="B12" s="2" t="s">
        <v>156</v>
      </c>
      <c r="C12" s="26" t="s">
        <v>157</v>
      </c>
      <c r="D12" s="27" t="s">
        <v>158</v>
      </c>
      <c r="E12" s="5" t="s">
        <v>159</v>
      </c>
      <c r="F12" s="6" t="s">
        <v>160</v>
      </c>
      <c r="G12" s="8" t="s">
        <v>117</v>
      </c>
      <c r="H12" s="9" t="s">
        <v>154</v>
      </c>
    </row>
    <row r="13" spans="1:8" ht="105" customHeight="1">
      <c r="A13" s="2" t="s">
        <v>161</v>
      </c>
      <c r="B13" s="2" t="s">
        <v>162</v>
      </c>
      <c r="C13" s="26" t="s">
        <v>163</v>
      </c>
      <c r="D13" s="27" t="s">
        <v>164</v>
      </c>
      <c r="E13" s="5" t="s">
        <v>632</v>
      </c>
      <c r="F13" s="6" t="s">
        <v>165</v>
      </c>
      <c r="G13" s="8" t="s">
        <v>166</v>
      </c>
      <c r="H13" s="9" t="s">
        <v>167</v>
      </c>
    </row>
    <row r="14" spans="1:8" ht="105" customHeight="1">
      <c r="A14" s="2" t="s">
        <v>168</v>
      </c>
      <c r="B14" s="2" t="s">
        <v>169</v>
      </c>
      <c r="C14" s="26" t="s">
        <v>170</v>
      </c>
      <c r="D14" s="27" t="s">
        <v>171</v>
      </c>
      <c r="E14" s="5" t="s">
        <v>172</v>
      </c>
      <c r="F14" s="6" t="s">
        <v>173</v>
      </c>
      <c r="G14" s="8" t="s">
        <v>174</v>
      </c>
      <c r="H14" s="9" t="s">
        <v>175</v>
      </c>
    </row>
    <row r="15" spans="1:8" ht="105" customHeight="1">
      <c r="A15" s="2" t="s">
        <v>176</v>
      </c>
      <c r="B15" s="2" t="s">
        <v>177</v>
      </c>
      <c r="C15" s="26" t="s">
        <v>178</v>
      </c>
      <c r="D15" s="27" t="s">
        <v>179</v>
      </c>
      <c r="E15" s="5" t="s">
        <v>180</v>
      </c>
      <c r="F15" s="6" t="s">
        <v>181</v>
      </c>
      <c r="G15" s="8" t="s">
        <v>182</v>
      </c>
      <c r="H15" s="9" t="s">
        <v>183</v>
      </c>
    </row>
    <row r="16" spans="1:8" ht="105" customHeight="1">
      <c r="A16" s="2" t="s">
        <v>184</v>
      </c>
      <c r="B16" s="2" t="s">
        <v>185</v>
      </c>
      <c r="C16" s="26" t="s">
        <v>186</v>
      </c>
      <c r="D16" s="27" t="s">
        <v>187</v>
      </c>
      <c r="E16" s="5" t="s">
        <v>188</v>
      </c>
      <c r="F16" s="6" t="s">
        <v>189</v>
      </c>
      <c r="G16" s="8" t="s">
        <v>190</v>
      </c>
      <c r="H16" s="9" t="s">
        <v>191</v>
      </c>
    </row>
    <row r="17" spans="1:8" ht="105" customHeight="1">
      <c r="A17" s="2" t="s">
        <v>192</v>
      </c>
      <c r="B17" s="2" t="s">
        <v>193</v>
      </c>
      <c r="C17" s="26" t="s">
        <v>194</v>
      </c>
      <c r="D17" s="27" t="s">
        <v>195</v>
      </c>
      <c r="E17" s="5" t="s">
        <v>196</v>
      </c>
      <c r="F17" s="6" t="s">
        <v>197</v>
      </c>
      <c r="G17" s="8" t="s">
        <v>198</v>
      </c>
      <c r="H17" s="9" t="s">
        <v>199</v>
      </c>
    </row>
    <row r="18" spans="1:8" ht="13.5" customHeight="1"/>
    <row r="19" spans="1:8" ht="13.5" customHeight="1"/>
    <row r="20" spans="1:8" ht="13.5" customHeight="1"/>
    <row r="21" spans="1:8" ht="13.5" customHeight="1"/>
    <row r="22" spans="1:8" ht="13.5" customHeight="1"/>
    <row r="23" spans="1:8" ht="13.5" customHeight="1"/>
    <row r="24" spans="1:8" ht="13.5" customHeight="1"/>
    <row r="25" spans="1:8" ht="13.5" customHeight="1"/>
    <row r="26" spans="1:8" ht="13.5" customHeight="1"/>
    <row r="27" spans="1:8" ht="13.5" customHeight="1"/>
    <row r="28" spans="1:8" ht="13.5" customHeight="1"/>
    <row r="29" spans="1:8" ht="13.5" customHeight="1"/>
    <row r="30" spans="1:8" ht="13.5" customHeight="1"/>
    <row r="31" spans="1:8" ht="13.5" customHeight="1"/>
    <row r="32" spans="1: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showGridLines="0" workbookViewId="0"/>
  </sheetViews>
  <sheetFormatPr defaultColWidth="12.6640625" defaultRowHeight="14"/>
  <cols>
    <col min="1" max="1" width="8" customWidth="1"/>
    <col min="2" max="2" width="20" customWidth="1"/>
    <col min="3" max="3" width="9" customWidth="1"/>
    <col min="4" max="4" width="34" customWidth="1"/>
    <col min="5" max="5" width="15" customWidth="1"/>
    <col min="6" max="6" width="60" customWidth="1"/>
    <col min="7" max="7" width="12" customWidth="1"/>
    <col min="8" max="8" width="16" customWidth="1"/>
    <col min="9" max="9" width="38" customWidth="1"/>
    <col min="10" max="26" width="8.6640625" customWidth="1"/>
  </cols>
  <sheetData>
    <row r="1" spans="1:9" ht="30" customHeight="1">
      <c r="A1" s="71" t="s">
        <v>200</v>
      </c>
      <c r="B1" s="69" t="s">
        <v>200</v>
      </c>
      <c r="C1" s="69" t="s">
        <v>200</v>
      </c>
      <c r="D1" s="69" t="s">
        <v>200</v>
      </c>
      <c r="E1" s="69" t="s">
        <v>200</v>
      </c>
      <c r="F1" s="69" t="s">
        <v>200</v>
      </c>
      <c r="G1" s="69" t="s">
        <v>200</v>
      </c>
      <c r="H1" s="69" t="s">
        <v>200</v>
      </c>
      <c r="I1" s="70" t="s">
        <v>200</v>
      </c>
    </row>
    <row r="2" spans="1:9" ht="31.5" customHeight="1">
      <c r="A2" s="72" t="s">
        <v>201</v>
      </c>
      <c r="B2" s="73" t="s">
        <v>201</v>
      </c>
      <c r="C2" s="73" t="s">
        <v>201</v>
      </c>
      <c r="D2" s="73" t="s">
        <v>201</v>
      </c>
      <c r="E2" s="73" t="s">
        <v>201</v>
      </c>
      <c r="F2" s="73" t="s">
        <v>201</v>
      </c>
      <c r="G2" s="73" t="s">
        <v>201</v>
      </c>
      <c r="H2" s="73" t="s">
        <v>201</v>
      </c>
      <c r="I2" s="74" t="s">
        <v>201</v>
      </c>
    </row>
    <row r="3" spans="1:9" ht="31.5" customHeight="1">
      <c r="A3" s="75" t="s">
        <v>201</v>
      </c>
      <c r="B3" s="76" t="s">
        <v>201</v>
      </c>
      <c r="C3" s="76" t="s">
        <v>201</v>
      </c>
      <c r="D3" s="76" t="s">
        <v>201</v>
      </c>
      <c r="E3" s="76" t="s">
        <v>201</v>
      </c>
      <c r="F3" s="76" t="s">
        <v>201</v>
      </c>
      <c r="G3" s="76" t="s">
        <v>201</v>
      </c>
      <c r="H3" s="76" t="s">
        <v>201</v>
      </c>
      <c r="I3" s="77" t="s">
        <v>201</v>
      </c>
    </row>
    <row r="4" spans="1:9" ht="13.5" customHeight="1"/>
    <row r="5" spans="1:9" ht="13.5" customHeight="1">
      <c r="A5" s="1" t="s">
        <v>202</v>
      </c>
      <c r="B5" s="1" t="s">
        <v>203</v>
      </c>
      <c r="C5" s="1" t="s">
        <v>93</v>
      </c>
      <c r="D5" s="1" t="s">
        <v>62</v>
      </c>
      <c r="E5" s="1" t="s">
        <v>204</v>
      </c>
      <c r="F5" s="1" t="s">
        <v>205</v>
      </c>
      <c r="G5" s="1" t="s">
        <v>206</v>
      </c>
      <c r="H5" s="1" t="s">
        <v>99</v>
      </c>
      <c r="I5" s="1" t="s">
        <v>108</v>
      </c>
    </row>
    <row r="6" spans="1:9" ht="43.5" customHeight="1">
      <c r="A6" s="2">
        <v>1</v>
      </c>
      <c r="B6" s="2" t="s">
        <v>207</v>
      </c>
      <c r="C6" s="2" t="s">
        <v>111</v>
      </c>
      <c r="D6" s="2" t="s">
        <v>112</v>
      </c>
      <c r="E6" s="2" t="s">
        <v>98</v>
      </c>
      <c r="F6" s="2" t="s">
        <v>208</v>
      </c>
      <c r="G6" s="2">
        <v>9</v>
      </c>
      <c r="H6" s="2" t="s">
        <v>209</v>
      </c>
      <c r="I6" s="2"/>
    </row>
    <row r="7" spans="1:9" ht="43.5" customHeight="1">
      <c r="A7" s="2">
        <v>2</v>
      </c>
      <c r="B7" s="2" t="s">
        <v>207</v>
      </c>
      <c r="C7" s="2" t="s">
        <v>111</v>
      </c>
      <c r="D7" s="2" t="s">
        <v>112</v>
      </c>
      <c r="E7" s="2" t="s">
        <v>98</v>
      </c>
      <c r="F7" s="2" t="s">
        <v>210</v>
      </c>
      <c r="G7" s="2">
        <v>80</v>
      </c>
      <c r="H7" s="2" t="s">
        <v>209</v>
      </c>
      <c r="I7" s="2"/>
    </row>
    <row r="8" spans="1:9" ht="43.5" customHeight="1">
      <c r="A8" s="2">
        <v>3</v>
      </c>
      <c r="B8" s="2" t="s">
        <v>207</v>
      </c>
      <c r="C8" s="2" t="s">
        <v>111</v>
      </c>
      <c r="D8" s="2" t="s">
        <v>112</v>
      </c>
      <c r="E8" s="2" t="s">
        <v>98</v>
      </c>
      <c r="F8" s="2" t="s">
        <v>211</v>
      </c>
      <c r="G8" s="2">
        <v>45</v>
      </c>
      <c r="H8" s="2" t="s">
        <v>212</v>
      </c>
      <c r="I8" s="2"/>
    </row>
    <row r="9" spans="1:9" ht="43.5" customHeight="1">
      <c r="A9" s="2">
        <v>4</v>
      </c>
      <c r="B9" s="2" t="s">
        <v>207</v>
      </c>
      <c r="C9" s="2" t="s">
        <v>119</v>
      </c>
      <c r="D9" s="2" t="s">
        <v>120</v>
      </c>
      <c r="E9" s="2" t="s">
        <v>98</v>
      </c>
      <c r="F9" s="2" t="s">
        <v>213</v>
      </c>
      <c r="G9" s="2"/>
      <c r="H9" s="2" t="s">
        <v>214</v>
      </c>
      <c r="I9" s="2" t="s">
        <v>215</v>
      </c>
    </row>
    <row r="10" spans="1:9" ht="43.5" customHeight="1">
      <c r="A10" s="2">
        <v>5</v>
      </c>
      <c r="B10" s="2" t="s">
        <v>207</v>
      </c>
      <c r="C10" s="2" t="s">
        <v>119</v>
      </c>
      <c r="D10" s="2" t="s">
        <v>120</v>
      </c>
      <c r="E10" s="2" t="s">
        <v>98</v>
      </c>
      <c r="F10" s="2" t="s">
        <v>216</v>
      </c>
      <c r="G10" s="2">
        <v>3</v>
      </c>
      <c r="H10" s="2" t="s">
        <v>209</v>
      </c>
      <c r="I10" s="2"/>
    </row>
    <row r="11" spans="1:9" ht="43.5" customHeight="1">
      <c r="A11" s="2">
        <v>6</v>
      </c>
      <c r="B11" s="2" t="s">
        <v>207</v>
      </c>
      <c r="C11" s="2" t="s">
        <v>119</v>
      </c>
      <c r="D11" s="2" t="s">
        <v>120</v>
      </c>
      <c r="E11" s="2" t="s">
        <v>98</v>
      </c>
      <c r="F11" s="2" t="s">
        <v>217</v>
      </c>
      <c r="G11" s="2">
        <v>33</v>
      </c>
      <c r="H11" s="2" t="s">
        <v>218</v>
      </c>
      <c r="I11" s="2"/>
    </row>
    <row r="12" spans="1:9" ht="43.5" customHeight="1">
      <c r="A12" s="2">
        <v>7</v>
      </c>
      <c r="B12" s="2" t="s">
        <v>207</v>
      </c>
      <c r="C12" s="2" t="s">
        <v>119</v>
      </c>
      <c r="D12" s="2" t="s">
        <v>120</v>
      </c>
      <c r="E12" s="2" t="s">
        <v>98</v>
      </c>
      <c r="F12" s="2" t="s">
        <v>219</v>
      </c>
      <c r="G12" s="2">
        <v>17</v>
      </c>
      <c r="H12" s="2" t="s">
        <v>209</v>
      </c>
      <c r="I12" s="2" t="s">
        <v>220</v>
      </c>
    </row>
    <row r="13" spans="1:9" ht="43.5" customHeight="1">
      <c r="A13" s="2">
        <v>8</v>
      </c>
      <c r="B13" s="2" t="s">
        <v>207</v>
      </c>
      <c r="C13" s="2" t="s">
        <v>119</v>
      </c>
      <c r="D13" s="2" t="s">
        <v>120</v>
      </c>
      <c r="E13" s="2" t="s">
        <v>98</v>
      </c>
      <c r="F13" s="2" t="s">
        <v>221</v>
      </c>
      <c r="G13" s="2">
        <v>11</v>
      </c>
      <c r="H13" s="2" t="s">
        <v>209</v>
      </c>
      <c r="I13" s="2" t="s">
        <v>220</v>
      </c>
    </row>
    <row r="14" spans="1:9" ht="43.5" customHeight="1">
      <c r="A14" s="2">
        <v>9</v>
      </c>
      <c r="B14" s="2" t="s">
        <v>207</v>
      </c>
      <c r="C14" s="2" t="s">
        <v>119</v>
      </c>
      <c r="D14" s="2" t="s">
        <v>120</v>
      </c>
      <c r="E14" s="2" t="s">
        <v>98</v>
      </c>
      <c r="F14" s="2" t="s">
        <v>222</v>
      </c>
      <c r="G14" s="2">
        <v>1</v>
      </c>
      <c r="H14" s="2" t="s">
        <v>209</v>
      </c>
      <c r="I14" s="2"/>
    </row>
    <row r="15" spans="1:9" ht="43.5" customHeight="1">
      <c r="A15" s="2">
        <v>10</v>
      </c>
      <c r="B15" s="2" t="s">
        <v>207</v>
      </c>
      <c r="C15" s="2" t="s">
        <v>119</v>
      </c>
      <c r="D15" s="2" t="s">
        <v>120</v>
      </c>
      <c r="E15" s="2" t="s">
        <v>98</v>
      </c>
      <c r="F15" s="2" t="s">
        <v>223</v>
      </c>
      <c r="G15" s="2">
        <v>60</v>
      </c>
      <c r="H15" s="2" t="s">
        <v>224</v>
      </c>
      <c r="I15" s="2"/>
    </row>
    <row r="16" spans="1:9" ht="43.5" customHeight="1">
      <c r="A16" s="2">
        <v>11</v>
      </c>
      <c r="B16" s="2" t="s">
        <v>225</v>
      </c>
      <c r="C16" s="2" t="s">
        <v>127</v>
      </c>
      <c r="D16" s="2" t="s">
        <v>128</v>
      </c>
      <c r="E16" s="2" t="s">
        <v>98</v>
      </c>
      <c r="F16" s="2" t="s">
        <v>226</v>
      </c>
      <c r="G16" s="2">
        <v>3</v>
      </c>
      <c r="H16" s="2" t="s">
        <v>227</v>
      </c>
      <c r="I16" s="2" t="s">
        <v>228</v>
      </c>
    </row>
    <row r="17" spans="1:9" ht="43.5" customHeight="1">
      <c r="A17" s="2">
        <v>12</v>
      </c>
      <c r="B17" s="2" t="s">
        <v>225</v>
      </c>
      <c r="C17" s="2" t="s">
        <v>127</v>
      </c>
      <c r="D17" s="2" t="s">
        <v>128</v>
      </c>
      <c r="E17" s="2" t="s">
        <v>98</v>
      </c>
      <c r="F17" s="2" t="s">
        <v>229</v>
      </c>
      <c r="G17" s="2">
        <v>1</v>
      </c>
      <c r="H17" s="2" t="s">
        <v>209</v>
      </c>
      <c r="I17" s="2" t="s">
        <v>230</v>
      </c>
    </row>
    <row r="18" spans="1:9" ht="43.5" customHeight="1">
      <c r="A18" s="2">
        <v>13</v>
      </c>
      <c r="B18" s="2" t="s">
        <v>225</v>
      </c>
      <c r="C18" s="2" t="s">
        <v>135</v>
      </c>
      <c r="D18" s="2" t="s">
        <v>136</v>
      </c>
      <c r="E18" s="2" t="s">
        <v>98</v>
      </c>
      <c r="F18" s="2" t="s">
        <v>231</v>
      </c>
      <c r="G18" s="2"/>
      <c r="H18" s="2" t="s">
        <v>232</v>
      </c>
      <c r="I18" s="2" t="s">
        <v>233</v>
      </c>
    </row>
    <row r="19" spans="1:9" ht="43.5" customHeight="1">
      <c r="A19" s="2">
        <v>14</v>
      </c>
      <c r="B19" s="2" t="s">
        <v>225</v>
      </c>
      <c r="C19" s="2" t="s">
        <v>135</v>
      </c>
      <c r="D19" s="2" t="s">
        <v>136</v>
      </c>
      <c r="E19" s="2" t="s">
        <v>98</v>
      </c>
      <c r="F19" s="2" t="s">
        <v>234</v>
      </c>
      <c r="G19" s="2"/>
      <c r="H19" s="2" t="s">
        <v>235</v>
      </c>
      <c r="I19" s="2" t="s">
        <v>236</v>
      </c>
    </row>
    <row r="20" spans="1:9" ht="43.5" customHeight="1">
      <c r="A20" s="2">
        <v>15</v>
      </c>
      <c r="B20" s="2" t="s">
        <v>225</v>
      </c>
      <c r="C20" s="2" t="s">
        <v>135</v>
      </c>
      <c r="D20" s="2" t="s">
        <v>136</v>
      </c>
      <c r="E20" s="2" t="s">
        <v>98</v>
      </c>
      <c r="F20" s="2" t="s">
        <v>237</v>
      </c>
      <c r="G20" s="2">
        <v>17</v>
      </c>
      <c r="H20" s="2" t="s">
        <v>209</v>
      </c>
      <c r="I20" s="2"/>
    </row>
    <row r="21" spans="1:9" ht="43.5" customHeight="1">
      <c r="A21" s="2">
        <v>16</v>
      </c>
      <c r="B21" s="2" t="s">
        <v>238</v>
      </c>
      <c r="C21" s="2" t="s">
        <v>142</v>
      </c>
      <c r="D21" s="2" t="s">
        <v>143</v>
      </c>
      <c r="E21" s="2" t="s">
        <v>98</v>
      </c>
      <c r="F21" s="2" t="s">
        <v>239</v>
      </c>
      <c r="G21" s="2" t="s">
        <v>240</v>
      </c>
      <c r="H21" s="2" t="s">
        <v>214</v>
      </c>
      <c r="I21" s="2" t="s">
        <v>241</v>
      </c>
    </row>
    <row r="22" spans="1:9" ht="43.5" customHeight="1">
      <c r="A22" s="2">
        <v>17</v>
      </c>
      <c r="B22" s="2" t="s">
        <v>238</v>
      </c>
      <c r="C22" s="2" t="s">
        <v>142</v>
      </c>
      <c r="D22" s="2" t="s">
        <v>143</v>
      </c>
      <c r="E22" s="2" t="s">
        <v>98</v>
      </c>
      <c r="F22" s="2" t="s">
        <v>242</v>
      </c>
      <c r="G22" s="2" t="s">
        <v>240</v>
      </c>
      <c r="H22" s="2" t="s">
        <v>214</v>
      </c>
      <c r="I22" s="2" t="s">
        <v>241</v>
      </c>
    </row>
    <row r="23" spans="1:9" ht="43.5" customHeight="1">
      <c r="A23" s="2">
        <v>18</v>
      </c>
      <c r="B23" s="2" t="s">
        <v>238</v>
      </c>
      <c r="C23" s="2" t="s">
        <v>142</v>
      </c>
      <c r="D23" s="2" t="s">
        <v>143</v>
      </c>
      <c r="E23" s="2" t="s">
        <v>98</v>
      </c>
      <c r="F23" s="2" t="s">
        <v>243</v>
      </c>
      <c r="G23" s="2">
        <v>17</v>
      </c>
      <c r="H23" s="2" t="s">
        <v>209</v>
      </c>
      <c r="I23" s="2"/>
    </row>
    <row r="24" spans="1:9" ht="100" customHeight="1">
      <c r="A24" s="32">
        <v>19</v>
      </c>
      <c r="B24" s="32" t="s">
        <v>244</v>
      </c>
      <c r="C24" s="32" t="s">
        <v>149</v>
      </c>
      <c r="D24" s="32" t="s">
        <v>150</v>
      </c>
      <c r="E24" s="32" t="s">
        <v>245</v>
      </c>
      <c r="F24" s="32" t="s">
        <v>746</v>
      </c>
      <c r="G24" s="32"/>
      <c r="H24" s="32" t="s">
        <v>246</v>
      </c>
      <c r="I24" s="32" t="s">
        <v>247</v>
      </c>
    </row>
    <row r="25" spans="1:9" ht="100" customHeight="1">
      <c r="A25" s="32">
        <v>20</v>
      </c>
      <c r="B25" s="32" t="s">
        <v>244</v>
      </c>
      <c r="C25" s="32" t="s">
        <v>155</v>
      </c>
      <c r="D25" s="32" t="s">
        <v>156</v>
      </c>
      <c r="E25" s="32" t="s">
        <v>245</v>
      </c>
      <c r="F25" s="32" t="s">
        <v>248</v>
      </c>
      <c r="G25" s="32"/>
      <c r="H25" s="32" t="s">
        <v>246</v>
      </c>
      <c r="I25" s="32" t="s">
        <v>249</v>
      </c>
    </row>
    <row r="26" spans="1:9" ht="100" customHeight="1">
      <c r="A26" s="32">
        <v>21</v>
      </c>
      <c r="B26" s="32" t="s">
        <v>250</v>
      </c>
      <c r="C26" s="32" t="s">
        <v>111</v>
      </c>
      <c r="D26" s="32" t="s">
        <v>112</v>
      </c>
      <c r="E26" s="32" t="s">
        <v>245</v>
      </c>
      <c r="F26" s="32" t="s">
        <v>251</v>
      </c>
      <c r="G26" s="32"/>
      <c r="H26" s="32" t="s">
        <v>246</v>
      </c>
      <c r="I26" s="32" t="s">
        <v>252</v>
      </c>
    </row>
    <row r="27" spans="1:9" ht="100" customHeight="1">
      <c r="A27" s="32">
        <v>22</v>
      </c>
      <c r="B27" s="32" t="s">
        <v>250</v>
      </c>
      <c r="C27" s="32" t="s">
        <v>119</v>
      </c>
      <c r="D27" s="32" t="s">
        <v>120</v>
      </c>
      <c r="E27" s="32" t="s">
        <v>245</v>
      </c>
      <c r="F27" s="32" t="s">
        <v>253</v>
      </c>
      <c r="G27" s="32"/>
      <c r="H27" s="32" t="s">
        <v>246</v>
      </c>
      <c r="I27" s="32" t="s">
        <v>254</v>
      </c>
    </row>
    <row r="28" spans="1:9" ht="100" customHeight="1">
      <c r="A28" s="32">
        <v>23</v>
      </c>
      <c r="B28" s="32" t="s">
        <v>255</v>
      </c>
      <c r="C28" s="32" t="s">
        <v>127</v>
      </c>
      <c r="D28" s="32" t="s">
        <v>128</v>
      </c>
      <c r="E28" s="32" t="s">
        <v>245</v>
      </c>
      <c r="F28" s="32" t="s">
        <v>256</v>
      </c>
      <c r="G28" s="32"/>
      <c r="H28" s="32" t="s">
        <v>246</v>
      </c>
      <c r="I28" s="32" t="s">
        <v>257</v>
      </c>
    </row>
    <row r="29" spans="1:9" ht="100" customHeight="1">
      <c r="A29" s="32">
        <v>24</v>
      </c>
      <c r="B29" s="32" t="s">
        <v>255</v>
      </c>
      <c r="C29" s="32" t="s">
        <v>135</v>
      </c>
      <c r="D29" s="32" t="s">
        <v>136</v>
      </c>
      <c r="E29" s="32" t="s">
        <v>245</v>
      </c>
      <c r="F29" s="32" t="s">
        <v>258</v>
      </c>
      <c r="G29" s="32"/>
      <c r="H29" s="32" t="s">
        <v>246</v>
      </c>
      <c r="I29" s="32" t="s">
        <v>259</v>
      </c>
    </row>
    <row r="30" spans="1:9" ht="100" customHeight="1">
      <c r="A30" s="32">
        <v>25</v>
      </c>
      <c r="B30" s="32" t="s">
        <v>260</v>
      </c>
      <c r="C30" s="32" t="s">
        <v>142</v>
      </c>
      <c r="D30" s="32" t="s">
        <v>143</v>
      </c>
      <c r="E30" s="32" t="s">
        <v>245</v>
      </c>
      <c r="F30" s="32" t="s">
        <v>261</v>
      </c>
      <c r="G30" s="32"/>
      <c r="H30" s="32" t="s">
        <v>246</v>
      </c>
      <c r="I30" s="32" t="s">
        <v>262</v>
      </c>
    </row>
    <row r="31" spans="1:9" ht="100" customHeight="1">
      <c r="A31" s="32">
        <v>26</v>
      </c>
      <c r="B31" s="32" t="s">
        <v>260</v>
      </c>
      <c r="C31" s="32" t="s">
        <v>161</v>
      </c>
      <c r="D31" s="32" t="s">
        <v>162</v>
      </c>
      <c r="E31" s="32" t="s">
        <v>245</v>
      </c>
      <c r="F31" s="32" t="s">
        <v>747</v>
      </c>
      <c r="G31" s="32"/>
      <c r="H31" s="32" t="s">
        <v>246</v>
      </c>
      <c r="I31" s="32" t="s">
        <v>263</v>
      </c>
    </row>
    <row r="32" spans="1:9" ht="100" customHeight="1">
      <c r="A32" s="32">
        <v>27</v>
      </c>
      <c r="B32" s="32" t="s">
        <v>264</v>
      </c>
      <c r="C32" s="32" t="s">
        <v>168</v>
      </c>
      <c r="D32" s="32" t="s">
        <v>169</v>
      </c>
      <c r="E32" s="32" t="s">
        <v>245</v>
      </c>
      <c r="F32" s="32" t="s">
        <v>265</v>
      </c>
      <c r="G32" s="32"/>
      <c r="H32" s="32" t="s">
        <v>246</v>
      </c>
      <c r="I32" s="32" t="s">
        <v>266</v>
      </c>
    </row>
    <row r="33" spans="1:9" ht="100" customHeight="1">
      <c r="A33" s="32">
        <v>28</v>
      </c>
      <c r="B33" s="32" t="s">
        <v>267</v>
      </c>
      <c r="C33" s="32" t="s">
        <v>176</v>
      </c>
      <c r="D33" s="32" t="s">
        <v>177</v>
      </c>
      <c r="E33" s="32" t="s">
        <v>245</v>
      </c>
      <c r="F33" s="32" t="s">
        <v>268</v>
      </c>
      <c r="G33" s="32"/>
      <c r="H33" s="32" t="s">
        <v>246</v>
      </c>
      <c r="I33" s="32" t="s">
        <v>269</v>
      </c>
    </row>
    <row r="34" spans="1:9" ht="100" customHeight="1">
      <c r="A34" s="32">
        <v>29</v>
      </c>
      <c r="B34" s="32" t="s">
        <v>267</v>
      </c>
      <c r="C34" s="32" t="s">
        <v>184</v>
      </c>
      <c r="D34" s="32" t="s">
        <v>185</v>
      </c>
      <c r="E34" s="32" t="s">
        <v>245</v>
      </c>
      <c r="F34" s="32" t="s">
        <v>270</v>
      </c>
      <c r="G34" s="32"/>
      <c r="H34" s="32" t="s">
        <v>246</v>
      </c>
      <c r="I34" s="32" t="s">
        <v>271</v>
      </c>
    </row>
    <row r="35" spans="1:9" ht="100" customHeight="1">
      <c r="A35" s="32">
        <v>30</v>
      </c>
      <c r="B35" s="32" t="s">
        <v>264</v>
      </c>
      <c r="C35" s="32" t="s">
        <v>192</v>
      </c>
      <c r="D35" s="32" t="s">
        <v>193</v>
      </c>
      <c r="E35" s="32" t="s">
        <v>245</v>
      </c>
      <c r="F35" s="32" t="s">
        <v>272</v>
      </c>
      <c r="G35" s="32"/>
      <c r="H35" s="32" t="s">
        <v>246</v>
      </c>
      <c r="I35" s="32" t="s">
        <v>273</v>
      </c>
    </row>
    <row r="36" spans="1:9" ht="13.5" customHeight="1"/>
    <row r="37" spans="1:9" ht="13.5" customHeight="1"/>
    <row r="38" spans="1:9" ht="13.5" customHeight="1"/>
    <row r="39" spans="1:9" ht="13.5" customHeight="1"/>
    <row r="40" spans="1:9" ht="13.5" customHeight="1"/>
    <row r="41" spans="1:9" ht="13.5" customHeight="1"/>
    <row r="42" spans="1:9" ht="13.5" customHeight="1"/>
    <row r="43" spans="1:9" ht="13.5" customHeight="1"/>
    <row r="44" spans="1:9" ht="13.5" customHeight="1"/>
    <row r="45" spans="1:9" ht="13.5" customHeight="1"/>
    <row r="46" spans="1:9" ht="13.5" customHeight="1"/>
    <row r="47" spans="1:9" ht="13.5" customHeight="1"/>
    <row r="48" spans="1:9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I1"/>
    <mergeCell ref="A2:I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showGridLines="0" workbookViewId="0"/>
  </sheetViews>
  <sheetFormatPr defaultRowHeight="14"/>
  <cols>
    <col min="1" max="1" width="8" customWidth="1"/>
    <col min="2" max="2" width="30" customWidth="1"/>
    <col min="3" max="3" width="42" customWidth="1"/>
    <col min="4" max="4" width="38" customWidth="1"/>
    <col min="5" max="5" width="20" customWidth="1"/>
    <col min="6" max="6" width="45" customWidth="1"/>
    <col min="7" max="7" width="52" customWidth="1"/>
    <col min="8" max="8" width="25" customWidth="1"/>
    <col min="9" max="9" width="43" customWidth="1"/>
    <col min="10" max="10" width="40" customWidth="1"/>
    <col min="11" max="11" width="36" customWidth="1"/>
    <col min="12" max="12" width="24" customWidth="1"/>
  </cols>
  <sheetData>
    <row r="1" spans="1:12" ht="28" customHeight="1">
      <c r="A1" s="102" t="s">
        <v>748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24" customHeight="1">
      <c r="A2" s="101" t="s">
        <v>274</v>
      </c>
      <c r="B2" s="101" t="s">
        <v>274</v>
      </c>
      <c r="C2" s="101" t="s">
        <v>274</v>
      </c>
      <c r="D2" s="101" t="s">
        <v>274</v>
      </c>
      <c r="E2" s="101" t="s">
        <v>274</v>
      </c>
      <c r="F2" s="101" t="s">
        <v>274</v>
      </c>
      <c r="G2" s="101" t="s">
        <v>274</v>
      </c>
      <c r="H2" s="101" t="s">
        <v>274</v>
      </c>
      <c r="I2" s="101" t="s">
        <v>274</v>
      </c>
      <c r="J2" s="101" t="s">
        <v>274</v>
      </c>
      <c r="K2" s="101" t="s">
        <v>274</v>
      </c>
      <c r="L2" s="101" t="s">
        <v>274</v>
      </c>
    </row>
    <row r="3" spans="1:12" ht="24" customHeight="1">
      <c r="A3" s="101" t="s">
        <v>274</v>
      </c>
      <c r="B3" s="101" t="s">
        <v>274</v>
      </c>
      <c r="C3" s="101" t="s">
        <v>274</v>
      </c>
      <c r="D3" s="101" t="s">
        <v>274</v>
      </c>
      <c r="E3" s="101" t="s">
        <v>274</v>
      </c>
      <c r="F3" s="101" t="s">
        <v>274</v>
      </c>
      <c r="G3" s="101" t="s">
        <v>274</v>
      </c>
      <c r="H3" s="101" t="s">
        <v>274</v>
      </c>
      <c r="I3" s="101" t="s">
        <v>274</v>
      </c>
      <c r="J3" s="101" t="s">
        <v>274</v>
      </c>
      <c r="K3" s="101" t="s">
        <v>274</v>
      </c>
      <c r="L3" s="101" t="s">
        <v>274</v>
      </c>
    </row>
    <row r="5" spans="1:12" ht="36" customHeight="1">
      <c r="A5" s="35" t="s">
        <v>93</v>
      </c>
      <c r="B5" s="35" t="s">
        <v>62</v>
      </c>
      <c r="C5" s="35" t="s">
        <v>275</v>
      </c>
      <c r="D5" s="35" t="s">
        <v>103</v>
      </c>
      <c r="E5" s="35" t="s">
        <v>276</v>
      </c>
      <c r="F5" s="35" t="s">
        <v>277</v>
      </c>
      <c r="G5" s="35" t="s">
        <v>278</v>
      </c>
      <c r="H5" s="35" t="s">
        <v>279</v>
      </c>
      <c r="I5" s="35" t="s">
        <v>280</v>
      </c>
      <c r="J5" s="35" t="s">
        <v>281</v>
      </c>
      <c r="K5" s="35" t="s">
        <v>282</v>
      </c>
      <c r="L5" s="35" t="s">
        <v>283</v>
      </c>
    </row>
    <row r="6" spans="1:12" ht="96" customHeight="1">
      <c r="A6" s="37" t="s">
        <v>149</v>
      </c>
      <c r="B6" s="37" t="s">
        <v>150</v>
      </c>
      <c r="C6" s="37" t="s">
        <v>284</v>
      </c>
      <c r="D6" s="37" t="s">
        <v>285</v>
      </c>
      <c r="E6" s="37" t="s">
        <v>286</v>
      </c>
      <c r="F6" s="37" t="s">
        <v>153</v>
      </c>
      <c r="G6" s="37" t="s">
        <v>745</v>
      </c>
      <c r="H6" s="37" t="s">
        <v>287</v>
      </c>
      <c r="I6" s="37" t="s">
        <v>117</v>
      </c>
      <c r="J6" s="37" t="s">
        <v>288</v>
      </c>
      <c r="K6" s="37" t="s">
        <v>289</v>
      </c>
      <c r="L6" s="37" t="s">
        <v>290</v>
      </c>
    </row>
    <row r="7" spans="1:12" ht="96" customHeight="1">
      <c r="A7" s="36" t="s">
        <v>155</v>
      </c>
      <c r="B7" s="36" t="s">
        <v>156</v>
      </c>
      <c r="C7" s="36" t="s">
        <v>291</v>
      </c>
      <c r="D7" s="36" t="s">
        <v>292</v>
      </c>
      <c r="E7" s="36" t="s">
        <v>293</v>
      </c>
      <c r="F7" s="36" t="s">
        <v>159</v>
      </c>
      <c r="G7" s="36" t="s">
        <v>160</v>
      </c>
      <c r="H7" s="36" t="s">
        <v>287</v>
      </c>
      <c r="I7" s="36" t="s">
        <v>117</v>
      </c>
      <c r="J7" s="36" t="s">
        <v>288</v>
      </c>
      <c r="K7" s="36" t="s">
        <v>289</v>
      </c>
      <c r="L7" s="36" t="s">
        <v>290</v>
      </c>
    </row>
    <row r="8" spans="1:12" ht="96" customHeight="1">
      <c r="A8" s="38" t="s">
        <v>111</v>
      </c>
      <c r="B8" s="38" t="s">
        <v>112</v>
      </c>
      <c r="C8" s="38" t="s">
        <v>294</v>
      </c>
      <c r="D8" s="38" t="s">
        <v>295</v>
      </c>
      <c r="E8" s="38" t="s">
        <v>296</v>
      </c>
      <c r="F8" s="38" t="s">
        <v>115</v>
      </c>
      <c r="G8" s="38" t="s">
        <v>116</v>
      </c>
      <c r="H8" s="38" t="s">
        <v>297</v>
      </c>
      <c r="I8" s="38" t="s">
        <v>117</v>
      </c>
      <c r="J8" s="38" t="s">
        <v>288</v>
      </c>
      <c r="K8" s="38" t="s">
        <v>289</v>
      </c>
      <c r="L8" s="38" t="s">
        <v>290</v>
      </c>
    </row>
    <row r="9" spans="1:12" ht="96" customHeight="1">
      <c r="A9" s="36" t="s">
        <v>119</v>
      </c>
      <c r="B9" s="36" t="s">
        <v>120</v>
      </c>
      <c r="C9" s="36" t="s">
        <v>298</v>
      </c>
      <c r="D9" s="36" t="s">
        <v>295</v>
      </c>
      <c r="E9" s="36" t="s">
        <v>296</v>
      </c>
      <c r="F9" s="36" t="s">
        <v>123</v>
      </c>
      <c r="G9" s="36" t="s">
        <v>124</v>
      </c>
      <c r="H9" s="36" t="s">
        <v>297</v>
      </c>
      <c r="I9" s="36" t="s">
        <v>125</v>
      </c>
      <c r="J9" s="36" t="s">
        <v>299</v>
      </c>
      <c r="K9" s="36" t="s">
        <v>300</v>
      </c>
      <c r="L9" s="36" t="s">
        <v>290</v>
      </c>
    </row>
    <row r="10" spans="1:12" ht="96" customHeight="1">
      <c r="A10" s="38" t="s">
        <v>127</v>
      </c>
      <c r="B10" s="38" t="s">
        <v>128</v>
      </c>
      <c r="C10" s="38" t="s">
        <v>301</v>
      </c>
      <c r="D10" s="38" t="s">
        <v>302</v>
      </c>
      <c r="E10" s="38" t="s">
        <v>303</v>
      </c>
      <c r="F10" s="38" t="s">
        <v>131</v>
      </c>
      <c r="G10" s="38" t="s">
        <v>132</v>
      </c>
      <c r="H10" s="38" t="s">
        <v>304</v>
      </c>
      <c r="I10" s="38" t="s">
        <v>133</v>
      </c>
      <c r="J10" s="38" t="s">
        <v>305</v>
      </c>
      <c r="K10" s="38" t="s">
        <v>306</v>
      </c>
      <c r="L10" s="38" t="s">
        <v>290</v>
      </c>
    </row>
    <row r="11" spans="1:12" ht="96" customHeight="1">
      <c r="A11" s="36" t="s">
        <v>135</v>
      </c>
      <c r="B11" s="36" t="s">
        <v>136</v>
      </c>
      <c r="C11" s="36" t="s">
        <v>307</v>
      </c>
      <c r="D11" s="36" t="s">
        <v>308</v>
      </c>
      <c r="E11" s="36" t="s">
        <v>303</v>
      </c>
      <c r="F11" s="36" t="s">
        <v>139</v>
      </c>
      <c r="G11" s="36" t="s">
        <v>140</v>
      </c>
      <c r="H11" s="36" t="s">
        <v>304</v>
      </c>
      <c r="I11" s="36" t="s">
        <v>125</v>
      </c>
      <c r="J11" s="36" t="s">
        <v>299</v>
      </c>
      <c r="K11" s="36" t="s">
        <v>300</v>
      </c>
      <c r="L11" s="36" t="s">
        <v>290</v>
      </c>
    </row>
    <row r="12" spans="1:12" ht="96" customHeight="1">
      <c r="A12" s="38" t="s">
        <v>142</v>
      </c>
      <c r="B12" s="38" t="s">
        <v>143</v>
      </c>
      <c r="C12" s="38" t="s">
        <v>309</v>
      </c>
      <c r="D12" s="38" t="s">
        <v>310</v>
      </c>
      <c r="E12" s="38" t="s">
        <v>303</v>
      </c>
      <c r="F12" s="38" t="s">
        <v>146</v>
      </c>
      <c r="G12" s="38" t="s">
        <v>147</v>
      </c>
      <c r="H12" s="38" t="s">
        <v>311</v>
      </c>
      <c r="I12" s="38" t="s">
        <v>133</v>
      </c>
      <c r="J12" s="38" t="s">
        <v>305</v>
      </c>
      <c r="K12" s="38" t="s">
        <v>306</v>
      </c>
      <c r="L12" s="38" t="s">
        <v>290</v>
      </c>
    </row>
    <row r="13" spans="1:12" ht="96" customHeight="1">
      <c r="A13" s="36" t="s">
        <v>161</v>
      </c>
      <c r="B13" s="36" t="s">
        <v>162</v>
      </c>
      <c r="C13" s="36" t="s">
        <v>749</v>
      </c>
      <c r="D13" s="36" t="s">
        <v>312</v>
      </c>
      <c r="E13" s="36" t="s">
        <v>313</v>
      </c>
      <c r="F13" s="36" t="s">
        <v>632</v>
      </c>
      <c r="G13" s="36" t="s">
        <v>165</v>
      </c>
      <c r="H13" s="36" t="s">
        <v>311</v>
      </c>
      <c r="I13" s="36" t="s">
        <v>166</v>
      </c>
      <c r="J13" s="36" t="s">
        <v>314</v>
      </c>
      <c r="K13" s="36" t="s">
        <v>315</v>
      </c>
      <c r="L13" s="36" t="s">
        <v>290</v>
      </c>
    </row>
    <row r="14" spans="1:12" ht="96" customHeight="1">
      <c r="A14" s="38" t="s">
        <v>168</v>
      </c>
      <c r="B14" s="38" t="s">
        <v>169</v>
      </c>
      <c r="C14" s="38" t="s">
        <v>316</v>
      </c>
      <c r="D14" s="38" t="s">
        <v>317</v>
      </c>
      <c r="E14" s="38" t="s">
        <v>318</v>
      </c>
      <c r="F14" s="38" t="s">
        <v>172</v>
      </c>
      <c r="G14" s="38" t="s">
        <v>173</v>
      </c>
      <c r="H14" s="38" t="s">
        <v>319</v>
      </c>
      <c r="I14" s="38" t="s">
        <v>174</v>
      </c>
      <c r="J14" s="38" t="s">
        <v>320</v>
      </c>
      <c r="K14" s="38" t="s">
        <v>321</v>
      </c>
      <c r="L14" s="38" t="s">
        <v>322</v>
      </c>
    </row>
    <row r="15" spans="1:12" ht="96" customHeight="1">
      <c r="A15" s="36" t="s">
        <v>176</v>
      </c>
      <c r="B15" s="36" t="s">
        <v>177</v>
      </c>
      <c r="C15" s="36" t="s">
        <v>323</v>
      </c>
      <c r="D15" s="36" t="s">
        <v>324</v>
      </c>
      <c r="E15" s="36" t="s">
        <v>325</v>
      </c>
      <c r="F15" s="36" t="s">
        <v>180</v>
      </c>
      <c r="G15" s="36" t="s">
        <v>181</v>
      </c>
      <c r="H15" s="36" t="s">
        <v>326</v>
      </c>
      <c r="I15" s="36" t="s">
        <v>182</v>
      </c>
      <c r="J15" s="36" t="s">
        <v>327</v>
      </c>
      <c r="K15" s="36" t="s">
        <v>328</v>
      </c>
      <c r="L15" s="36" t="s">
        <v>322</v>
      </c>
    </row>
    <row r="16" spans="1:12" ht="96" customHeight="1">
      <c r="A16" s="38" t="s">
        <v>184</v>
      </c>
      <c r="B16" s="38" t="s">
        <v>185</v>
      </c>
      <c r="C16" s="38" t="s">
        <v>329</v>
      </c>
      <c r="D16" s="38" t="s">
        <v>330</v>
      </c>
      <c r="E16" s="38" t="s">
        <v>331</v>
      </c>
      <c r="F16" s="38" t="s">
        <v>188</v>
      </c>
      <c r="G16" s="38" t="s">
        <v>189</v>
      </c>
      <c r="H16" s="38" t="s">
        <v>326</v>
      </c>
      <c r="I16" s="38" t="s">
        <v>190</v>
      </c>
      <c r="J16" s="38" t="s">
        <v>332</v>
      </c>
      <c r="K16" s="38" t="s">
        <v>333</v>
      </c>
      <c r="L16" s="38" t="s">
        <v>322</v>
      </c>
    </row>
    <row r="17" spans="1:12" ht="96" customHeight="1">
      <c r="A17" s="36" t="s">
        <v>192</v>
      </c>
      <c r="B17" s="36" t="s">
        <v>193</v>
      </c>
      <c r="C17" s="36" t="s">
        <v>334</v>
      </c>
      <c r="D17" s="36" t="s">
        <v>335</v>
      </c>
      <c r="E17" s="36" t="s">
        <v>336</v>
      </c>
      <c r="F17" s="36" t="s">
        <v>196</v>
      </c>
      <c r="G17" s="36" t="s">
        <v>197</v>
      </c>
      <c r="H17" s="36" t="s">
        <v>319</v>
      </c>
      <c r="I17" s="36" t="s">
        <v>198</v>
      </c>
      <c r="J17" s="36" t="s">
        <v>337</v>
      </c>
      <c r="K17" s="36" t="s">
        <v>338</v>
      </c>
      <c r="L17" s="36" t="s">
        <v>322</v>
      </c>
    </row>
  </sheetData>
  <mergeCells count="2">
    <mergeCell ref="A2:L3"/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7"/>
  <sheetViews>
    <sheetView showGridLines="0" workbookViewId="0"/>
  </sheetViews>
  <sheetFormatPr defaultRowHeight="14"/>
  <cols>
    <col min="1" max="1" width="8" customWidth="1"/>
    <col min="2" max="2" width="30" customWidth="1"/>
    <col min="3" max="3" width="12" customWidth="1"/>
    <col min="4" max="4" width="48" customWidth="1"/>
    <col min="5" max="5" width="42" customWidth="1"/>
    <col min="6" max="6" width="27" customWidth="1"/>
    <col min="7" max="8" width="12" customWidth="1"/>
    <col min="9" max="9" width="18" customWidth="1"/>
    <col min="10" max="10" width="20" customWidth="1"/>
    <col min="11" max="11" width="14" customWidth="1"/>
    <col min="12" max="12" width="36" customWidth="1"/>
    <col min="13" max="13" width="20" customWidth="1"/>
    <col min="14" max="14" width="38" customWidth="1"/>
  </cols>
  <sheetData>
    <row r="1" spans="1:14" ht="28" customHeight="1">
      <c r="A1" s="102" t="s">
        <v>339</v>
      </c>
      <c r="B1" s="102" t="s">
        <v>339</v>
      </c>
      <c r="C1" s="102" t="s">
        <v>339</v>
      </c>
      <c r="D1" s="102" t="s">
        <v>339</v>
      </c>
      <c r="E1" s="102" t="s">
        <v>339</v>
      </c>
      <c r="F1" s="102" t="s">
        <v>339</v>
      </c>
      <c r="G1" s="102" t="s">
        <v>339</v>
      </c>
      <c r="H1" s="102" t="s">
        <v>339</v>
      </c>
      <c r="I1" s="102" t="s">
        <v>339</v>
      </c>
      <c r="J1" s="102" t="s">
        <v>339</v>
      </c>
      <c r="K1" s="102" t="s">
        <v>339</v>
      </c>
      <c r="L1" s="102" t="s">
        <v>339</v>
      </c>
      <c r="M1" s="102" t="s">
        <v>339</v>
      </c>
      <c r="N1" s="102" t="s">
        <v>339</v>
      </c>
    </row>
    <row r="2" spans="1:14" ht="24" customHeight="1">
      <c r="A2" s="101" t="s">
        <v>340</v>
      </c>
      <c r="B2" s="101" t="s">
        <v>340</v>
      </c>
      <c r="C2" s="101" t="s">
        <v>340</v>
      </c>
      <c r="D2" s="101" t="s">
        <v>340</v>
      </c>
      <c r="E2" s="101" t="s">
        <v>340</v>
      </c>
      <c r="F2" s="101" t="s">
        <v>340</v>
      </c>
      <c r="G2" s="101" t="s">
        <v>340</v>
      </c>
      <c r="H2" s="101" t="s">
        <v>340</v>
      </c>
      <c r="I2" s="101" t="s">
        <v>340</v>
      </c>
      <c r="J2" s="101" t="s">
        <v>340</v>
      </c>
      <c r="K2" s="101" t="s">
        <v>340</v>
      </c>
      <c r="L2" s="101" t="s">
        <v>340</v>
      </c>
      <c r="M2" s="101" t="s">
        <v>340</v>
      </c>
      <c r="N2" s="101" t="s">
        <v>340</v>
      </c>
    </row>
    <row r="3" spans="1:14" ht="24" customHeight="1">
      <c r="A3" s="101" t="s">
        <v>340</v>
      </c>
      <c r="B3" s="101" t="s">
        <v>340</v>
      </c>
      <c r="C3" s="101" t="s">
        <v>340</v>
      </c>
      <c r="D3" s="101" t="s">
        <v>340</v>
      </c>
      <c r="E3" s="101" t="s">
        <v>340</v>
      </c>
      <c r="F3" s="101" t="s">
        <v>340</v>
      </c>
      <c r="G3" s="101" t="s">
        <v>340</v>
      </c>
      <c r="H3" s="101" t="s">
        <v>340</v>
      </c>
      <c r="I3" s="101" t="s">
        <v>340</v>
      </c>
      <c r="J3" s="101" t="s">
        <v>340</v>
      </c>
      <c r="K3" s="101" t="s">
        <v>340</v>
      </c>
      <c r="L3" s="101" t="s">
        <v>340</v>
      </c>
      <c r="M3" s="101" t="s">
        <v>340</v>
      </c>
      <c r="N3" s="101" t="s">
        <v>340</v>
      </c>
    </row>
    <row r="5" spans="1:14" ht="24" customHeight="1">
      <c r="A5" s="103" t="s">
        <v>341</v>
      </c>
      <c r="B5" s="103" t="s">
        <v>341</v>
      </c>
      <c r="C5" s="103" t="s">
        <v>341</v>
      </c>
      <c r="E5" s="103" t="s">
        <v>342</v>
      </c>
      <c r="F5" s="103" t="s">
        <v>342</v>
      </c>
      <c r="G5" s="103" t="s">
        <v>342</v>
      </c>
    </row>
    <row r="6" spans="1:14" ht="24" customHeight="1">
      <c r="A6" s="39" t="s">
        <v>343</v>
      </c>
      <c r="B6" s="39" t="s">
        <v>64</v>
      </c>
      <c r="C6" s="39" t="s">
        <v>46</v>
      </c>
      <c r="E6" s="39" t="s">
        <v>344</v>
      </c>
      <c r="F6" s="39" t="s">
        <v>68</v>
      </c>
      <c r="G6" s="39" t="s">
        <v>345</v>
      </c>
    </row>
    <row r="7" spans="1:14" ht="24" customHeight="1">
      <c r="A7" s="40" t="s">
        <v>76</v>
      </c>
      <c r="B7" s="48">
        <f>AVERAGEIF($C$12:$C$47,A7,$H$12:$H$47)</f>
        <v>0.70833333333333337</v>
      </c>
      <c r="C7" s="40" t="str">
        <f>IF(B7&gt;=1,"Tercapai",IF(B7&gt;=0.8,"In Progress","Perlu Perhatian"))</f>
        <v>Perlu Perhatian</v>
      </c>
      <c r="E7" s="41" t="s">
        <v>65</v>
      </c>
      <c r="F7" s="41">
        <f>COUNTIF($J$12:$J$47,E7)</f>
        <v>36</v>
      </c>
      <c r="G7" s="41" t="s">
        <v>346</v>
      </c>
    </row>
    <row r="8" spans="1:14" ht="24" customHeight="1">
      <c r="A8" s="40" t="s">
        <v>77</v>
      </c>
      <c r="B8" s="48">
        <f>AVERAGEIF($C$12:$C$47,A8,$H$12:$H$47)</f>
        <v>0.76275326797385634</v>
      </c>
      <c r="C8" s="40" t="str">
        <f>IF(B8&gt;=1,"Tercapai",IF(B8&gt;=0.8,"In Progress","Perlu Perhatian"))</f>
        <v>Perlu Perhatian</v>
      </c>
      <c r="E8" s="40" t="s">
        <v>347</v>
      </c>
      <c r="F8" s="40">
        <f>COUNTIF($J$12:$J$47,E8)</f>
        <v>0</v>
      </c>
      <c r="G8" s="40" t="s">
        <v>348</v>
      </c>
    </row>
    <row r="9" spans="1:14" ht="24" customHeight="1">
      <c r="A9" s="40" t="s">
        <v>78</v>
      </c>
      <c r="B9" s="48">
        <f>AVERAGEIF($C$12:$C$47,A9,$H$12:$H$47)</f>
        <v>0.60406746031746039</v>
      </c>
      <c r="C9" s="40" t="str">
        <f>IF(B9&gt;=1,"Tercapai",IF(B9&gt;=0.8,"In Progress","Perlu Perhatian"))</f>
        <v>Perlu Perhatian</v>
      </c>
      <c r="E9" s="40" t="s">
        <v>349</v>
      </c>
      <c r="F9" s="40">
        <f>COUNTA($A$12:$A$47)</f>
        <v>36</v>
      </c>
      <c r="G9" s="40" t="s">
        <v>350</v>
      </c>
    </row>
    <row r="11" spans="1:14" ht="42" customHeight="1">
      <c r="A11" s="42" t="s">
        <v>93</v>
      </c>
      <c r="B11" s="42" t="s">
        <v>62</v>
      </c>
      <c r="C11" s="42" t="s">
        <v>73</v>
      </c>
      <c r="D11" s="42" t="s">
        <v>351</v>
      </c>
      <c r="E11" s="42" t="s">
        <v>352</v>
      </c>
      <c r="F11" s="42" t="s">
        <v>106</v>
      </c>
      <c r="G11" s="42" t="s">
        <v>353</v>
      </c>
      <c r="H11" s="42" t="s">
        <v>354</v>
      </c>
      <c r="I11" s="42" t="s">
        <v>46</v>
      </c>
      <c r="J11" s="42" t="s">
        <v>107</v>
      </c>
      <c r="K11" s="42" t="s">
        <v>355</v>
      </c>
      <c r="L11" s="42" t="s">
        <v>103</v>
      </c>
      <c r="M11" s="42" t="s">
        <v>276</v>
      </c>
      <c r="N11" s="42" t="s">
        <v>356</v>
      </c>
    </row>
    <row r="12" spans="1:14" ht="72" customHeight="1">
      <c r="A12" s="43" t="s">
        <v>149</v>
      </c>
      <c r="B12" s="43" t="s">
        <v>150</v>
      </c>
      <c r="C12" s="43" t="s">
        <v>76</v>
      </c>
      <c r="D12" s="43" t="s">
        <v>153</v>
      </c>
      <c r="E12" s="43" t="s">
        <v>357</v>
      </c>
      <c r="F12" s="43" t="s">
        <v>287</v>
      </c>
      <c r="G12" s="45">
        <v>1</v>
      </c>
      <c r="H12" s="45">
        <f>IFERROR(AVERAGEIFS('Tracker ToC'!$M$8:$M$78,'Tracker ToC'!$C$8:$C$78,$A12,'Tracker ToC'!$E$8:$E$78,$C12),0)</f>
        <v>0.66666666666666663</v>
      </c>
      <c r="I12" s="43" t="str">
        <f t="shared" ref="I12:I47" si="0">IF(H12&gt;=1,"Tercapai",IF(H12&gt;=0.8,"In Progress","Perlu Perhatian"))</f>
        <v>Perlu Perhatian</v>
      </c>
      <c r="J12" s="43" t="str">
        <f>IF(COUNTIFS('Tracker ToC'!$C$8:$C$78,$A12,'Tracker ToC'!$E$8:$E$78,$C12,'Tracker ToC'!$V$8:$V$78,"Mengandung Dummy")&gt;0,"Mengandung Dummy","Terbukti")</f>
        <v>Mengandung Dummy</v>
      </c>
      <c r="K12" s="49">
        <f>COUNTIFS('Tracker ToC'!$C$8:$C$78,$A12,'Tracker ToC'!$E$8:$E$78,$C12)</f>
        <v>1</v>
      </c>
      <c r="L12" s="43" t="s">
        <v>285</v>
      </c>
      <c r="M12" s="43" t="s">
        <v>286</v>
      </c>
      <c r="N12" s="43" t="s">
        <v>358</v>
      </c>
    </row>
    <row r="13" spans="1:14" ht="72" customHeight="1">
      <c r="A13" s="36" t="s">
        <v>149</v>
      </c>
      <c r="B13" s="36" t="s">
        <v>150</v>
      </c>
      <c r="C13" s="36" t="s">
        <v>77</v>
      </c>
      <c r="D13" s="36" t="s">
        <v>405</v>
      </c>
      <c r="E13" s="36" t="s">
        <v>359</v>
      </c>
      <c r="F13" s="36" t="s">
        <v>287</v>
      </c>
      <c r="G13" s="46">
        <v>1</v>
      </c>
      <c r="H13" s="46">
        <f>IFERROR(AVERAGEIFS('Tracker ToC'!$M$8:$M$78,'Tracker ToC'!$C$8:$C$78,$A13,'Tracker ToC'!$E$8:$E$78,$C13),0)</f>
        <v>0.7</v>
      </c>
      <c r="I13" s="36" t="str">
        <f t="shared" si="0"/>
        <v>Perlu Perhatian</v>
      </c>
      <c r="J13" s="36" t="str">
        <f>IF(COUNTIFS('Tracker ToC'!$C$8:$C$78,$A13,'Tracker ToC'!$E$8:$E$78,$C13,'Tracker ToC'!$V$8:$V$78,"Mengandung Dummy")&gt;0,"Mengandung Dummy","Terbukti")</f>
        <v>Mengandung Dummy</v>
      </c>
      <c r="K13" s="50">
        <f>COUNTIFS('Tracker ToC'!$C$8:$C$78,$A13,'Tracker ToC'!$E$8:$E$78,$C13)</f>
        <v>1</v>
      </c>
      <c r="L13" s="36" t="s">
        <v>285</v>
      </c>
      <c r="M13" s="36" t="s">
        <v>286</v>
      </c>
      <c r="N13" s="36" t="s">
        <v>358</v>
      </c>
    </row>
    <row r="14" spans="1:14" ht="72" customHeight="1">
      <c r="A14" s="44" t="s">
        <v>149</v>
      </c>
      <c r="B14" s="44" t="s">
        <v>150</v>
      </c>
      <c r="C14" s="44" t="s">
        <v>78</v>
      </c>
      <c r="D14" s="44" t="s">
        <v>117</v>
      </c>
      <c r="E14" s="44" t="s">
        <v>288</v>
      </c>
      <c r="F14" s="44" t="s">
        <v>290</v>
      </c>
      <c r="G14" s="47">
        <v>1</v>
      </c>
      <c r="H14" s="47">
        <f>IFERROR(AVERAGEIFS('Tracker ToC'!$M$8:$M$78,'Tracker ToC'!$C$8:$C$78,$A14,'Tracker ToC'!$E$8:$E$78,$C14),0)</f>
        <v>0.74999999999999989</v>
      </c>
      <c r="I14" s="44" t="str">
        <f t="shared" si="0"/>
        <v>Perlu Perhatian</v>
      </c>
      <c r="J14" s="44" t="str">
        <f>IF(COUNTIFS('Tracker ToC'!$C$8:$C$78,$A14,'Tracker ToC'!$E$8:$E$78,$C14,'Tracker ToC'!$V$8:$V$78,"Mengandung Dummy")&gt;0,"Mengandung Dummy","Terbukti")</f>
        <v>Mengandung Dummy</v>
      </c>
      <c r="K14" s="51">
        <f>COUNTIFS('Tracker ToC'!$C$8:$C$78,$A14,'Tracker ToC'!$E$8:$E$78,$C14)</f>
        <v>1</v>
      </c>
      <c r="L14" s="44" t="s">
        <v>285</v>
      </c>
      <c r="M14" s="44" t="s">
        <v>286</v>
      </c>
      <c r="N14" s="44" t="s">
        <v>289</v>
      </c>
    </row>
    <row r="15" spans="1:14" ht="72" customHeight="1">
      <c r="A15" s="36" t="s">
        <v>155</v>
      </c>
      <c r="B15" s="36" t="s">
        <v>156</v>
      </c>
      <c r="C15" s="36" t="s">
        <v>76</v>
      </c>
      <c r="D15" s="36" t="s">
        <v>159</v>
      </c>
      <c r="E15" s="36" t="s">
        <v>357</v>
      </c>
      <c r="F15" s="36" t="s">
        <v>287</v>
      </c>
      <c r="G15" s="46">
        <v>1</v>
      </c>
      <c r="H15" s="46">
        <f>IFERROR(AVERAGEIFS('Tracker ToC'!$M$8:$M$78,'Tracker ToC'!$C$8:$C$78,$A15,'Tracker ToC'!$E$8:$E$78,$C15),0)</f>
        <v>1</v>
      </c>
      <c r="I15" s="36" t="str">
        <f t="shared" si="0"/>
        <v>Tercapai</v>
      </c>
      <c r="J15" s="36" t="str">
        <f>IF(COUNTIFS('Tracker ToC'!$C$8:$C$78,$A15,'Tracker ToC'!$E$8:$E$78,$C15,'Tracker ToC'!$V$8:$V$78,"Mengandung Dummy")&gt;0,"Mengandung Dummy","Terbukti")</f>
        <v>Mengandung Dummy</v>
      </c>
      <c r="K15" s="50">
        <f>COUNTIFS('Tracker ToC'!$C$8:$C$78,$A15,'Tracker ToC'!$E$8:$E$78,$C15)</f>
        <v>1</v>
      </c>
      <c r="L15" s="36" t="s">
        <v>292</v>
      </c>
      <c r="M15" s="36" t="s">
        <v>293</v>
      </c>
      <c r="N15" s="36" t="s">
        <v>358</v>
      </c>
    </row>
    <row r="16" spans="1:14" ht="72" customHeight="1">
      <c r="A16" s="44" t="s">
        <v>155</v>
      </c>
      <c r="B16" s="44" t="s">
        <v>156</v>
      </c>
      <c r="C16" s="44" t="s">
        <v>77</v>
      </c>
      <c r="D16" s="44" t="s">
        <v>360</v>
      </c>
      <c r="E16" s="44" t="s">
        <v>361</v>
      </c>
      <c r="F16" s="44" t="s">
        <v>287</v>
      </c>
      <c r="G16" s="47">
        <v>1</v>
      </c>
      <c r="H16" s="47">
        <f>IFERROR(AVERAGEIFS('Tracker ToC'!$M$8:$M$78,'Tracker ToC'!$C$8:$C$78,$A16,'Tracker ToC'!$E$8:$E$78,$C16),0)</f>
        <v>0.66666666666666663</v>
      </c>
      <c r="I16" s="44" t="str">
        <f t="shared" si="0"/>
        <v>Perlu Perhatian</v>
      </c>
      <c r="J16" s="44" t="str">
        <f>IF(COUNTIFS('Tracker ToC'!$C$8:$C$78,$A16,'Tracker ToC'!$E$8:$E$78,$C16,'Tracker ToC'!$V$8:$V$78,"Mengandung Dummy")&gt;0,"Mengandung Dummy","Terbukti")</f>
        <v>Mengandung Dummy</v>
      </c>
      <c r="K16" s="51">
        <f>COUNTIFS('Tracker ToC'!$C$8:$C$78,$A16,'Tracker ToC'!$E$8:$E$78,$C16)</f>
        <v>1</v>
      </c>
      <c r="L16" s="44" t="s">
        <v>292</v>
      </c>
      <c r="M16" s="44" t="s">
        <v>293</v>
      </c>
      <c r="N16" s="44" t="s">
        <v>358</v>
      </c>
    </row>
    <row r="17" spans="1:14" ht="72" customHeight="1">
      <c r="A17" s="36" t="s">
        <v>155</v>
      </c>
      <c r="B17" s="36" t="s">
        <v>156</v>
      </c>
      <c r="C17" s="36" t="s">
        <v>78</v>
      </c>
      <c r="D17" s="36" t="s">
        <v>117</v>
      </c>
      <c r="E17" s="36" t="s">
        <v>288</v>
      </c>
      <c r="F17" s="36" t="s">
        <v>290</v>
      </c>
      <c r="G17" s="46">
        <v>1</v>
      </c>
      <c r="H17" s="46">
        <f>IFERROR(AVERAGEIFS('Tracker ToC'!$M$8:$M$78,'Tracker ToC'!$C$8:$C$78,$A17,'Tracker ToC'!$E$8:$E$78,$C17),0)</f>
        <v>0.39999999999999997</v>
      </c>
      <c r="I17" s="36" t="str">
        <f t="shared" si="0"/>
        <v>Perlu Perhatian</v>
      </c>
      <c r="J17" s="36" t="str">
        <f>IF(COUNTIFS('Tracker ToC'!$C$8:$C$78,$A17,'Tracker ToC'!$E$8:$E$78,$C17,'Tracker ToC'!$V$8:$V$78,"Mengandung Dummy")&gt;0,"Mengandung Dummy","Terbukti")</f>
        <v>Mengandung Dummy</v>
      </c>
      <c r="K17" s="50">
        <f>COUNTIFS('Tracker ToC'!$C$8:$C$78,$A17,'Tracker ToC'!$E$8:$E$78,$C17)</f>
        <v>1</v>
      </c>
      <c r="L17" s="36" t="s">
        <v>292</v>
      </c>
      <c r="M17" s="36" t="s">
        <v>293</v>
      </c>
      <c r="N17" s="36" t="s">
        <v>289</v>
      </c>
    </row>
    <row r="18" spans="1:14" ht="72" customHeight="1">
      <c r="A18" s="44" t="s">
        <v>111</v>
      </c>
      <c r="B18" s="44" t="s">
        <v>112</v>
      </c>
      <c r="C18" s="44" t="s">
        <v>76</v>
      </c>
      <c r="D18" s="44" t="s">
        <v>115</v>
      </c>
      <c r="E18" s="44" t="s">
        <v>357</v>
      </c>
      <c r="F18" s="44" t="s">
        <v>297</v>
      </c>
      <c r="G18" s="47">
        <v>1</v>
      </c>
      <c r="H18" s="47">
        <f>IFERROR(AVERAGEIFS('Tracker ToC'!$M$8:$M$78,'Tracker ToC'!$C$8:$C$78,$A18,'Tracker ToC'!$E$8:$E$78,$C18),0)</f>
        <v>1</v>
      </c>
      <c r="I18" s="44" t="str">
        <f t="shared" si="0"/>
        <v>Tercapai</v>
      </c>
      <c r="J18" s="44" t="str">
        <f>IF(COUNTIFS('Tracker ToC'!$C$8:$C$78,$A18,'Tracker ToC'!$E$8:$E$78,$C18,'Tracker ToC'!$V$8:$V$78,"Mengandung Dummy")&gt;0,"Mengandung Dummy","Terbukti")</f>
        <v>Mengandung Dummy</v>
      </c>
      <c r="K18" s="51">
        <f>COUNTIFS('Tracker ToC'!$C$8:$C$78,$A18,'Tracker ToC'!$E$8:$E$78,$C18)</f>
        <v>2</v>
      </c>
      <c r="L18" s="44" t="s">
        <v>295</v>
      </c>
      <c r="M18" s="44" t="s">
        <v>296</v>
      </c>
      <c r="N18" s="44" t="s">
        <v>358</v>
      </c>
    </row>
    <row r="19" spans="1:14" ht="72" customHeight="1">
      <c r="A19" s="36" t="s">
        <v>111</v>
      </c>
      <c r="B19" s="36" t="s">
        <v>112</v>
      </c>
      <c r="C19" s="36" t="s">
        <v>77</v>
      </c>
      <c r="D19" s="36" t="s">
        <v>362</v>
      </c>
      <c r="E19" s="36" t="s">
        <v>363</v>
      </c>
      <c r="F19" s="36" t="s">
        <v>297</v>
      </c>
      <c r="G19" s="46">
        <v>1</v>
      </c>
      <c r="H19" s="46">
        <f>IFERROR(AVERAGEIFS('Tracker ToC'!$M$8:$M$78,'Tracker ToC'!$C$8:$C$78,$A19,'Tracker ToC'!$E$8:$E$78,$C19),0)</f>
        <v>0.97142857142857153</v>
      </c>
      <c r="I19" s="36" t="str">
        <f t="shared" si="0"/>
        <v>In Progress</v>
      </c>
      <c r="J19" s="36" t="str">
        <f>IF(COUNTIFS('Tracker ToC'!$C$8:$C$78,$A19,'Tracker ToC'!$E$8:$E$78,$C19,'Tracker ToC'!$V$8:$V$78,"Mengandung Dummy")&gt;0,"Mengandung Dummy","Terbukti")</f>
        <v>Mengandung Dummy</v>
      </c>
      <c r="K19" s="50">
        <f>COUNTIFS('Tracker ToC'!$C$8:$C$78,$A19,'Tracker ToC'!$E$8:$E$78,$C19)</f>
        <v>1</v>
      </c>
      <c r="L19" s="36" t="s">
        <v>295</v>
      </c>
      <c r="M19" s="36" t="s">
        <v>296</v>
      </c>
      <c r="N19" s="36" t="s">
        <v>358</v>
      </c>
    </row>
    <row r="20" spans="1:14" ht="72" customHeight="1">
      <c r="A20" s="44" t="s">
        <v>111</v>
      </c>
      <c r="B20" s="44" t="s">
        <v>112</v>
      </c>
      <c r="C20" s="44" t="s">
        <v>78</v>
      </c>
      <c r="D20" s="44" t="s">
        <v>117</v>
      </c>
      <c r="E20" s="44" t="s">
        <v>288</v>
      </c>
      <c r="F20" s="44" t="s">
        <v>290</v>
      </c>
      <c r="G20" s="47">
        <v>1</v>
      </c>
      <c r="H20" s="47">
        <f>IFERROR(AVERAGEIFS('Tracker ToC'!$M$8:$M$78,'Tracker ToC'!$C$8:$C$78,$A20,'Tracker ToC'!$E$8:$E$78,$C20),0)</f>
        <v>0.6</v>
      </c>
      <c r="I20" s="44" t="str">
        <f t="shared" si="0"/>
        <v>Perlu Perhatian</v>
      </c>
      <c r="J20" s="44" t="str">
        <f>IF(COUNTIFS('Tracker ToC'!$C$8:$C$78,$A20,'Tracker ToC'!$E$8:$E$78,$C20,'Tracker ToC'!$V$8:$V$78,"Mengandung Dummy")&gt;0,"Mengandung Dummy","Terbukti")</f>
        <v>Mengandung Dummy</v>
      </c>
      <c r="K20" s="51">
        <f>COUNTIFS('Tracker ToC'!$C$8:$C$78,$A20,'Tracker ToC'!$E$8:$E$78,$C20)</f>
        <v>1</v>
      </c>
      <c r="L20" s="44" t="s">
        <v>295</v>
      </c>
      <c r="M20" s="44" t="s">
        <v>296</v>
      </c>
      <c r="N20" s="44" t="s">
        <v>289</v>
      </c>
    </row>
    <row r="21" spans="1:14" ht="72" customHeight="1">
      <c r="A21" s="36" t="s">
        <v>119</v>
      </c>
      <c r="B21" s="36" t="s">
        <v>120</v>
      </c>
      <c r="C21" s="36" t="s">
        <v>76</v>
      </c>
      <c r="D21" s="36" t="s">
        <v>123</v>
      </c>
      <c r="E21" s="36" t="s">
        <v>357</v>
      </c>
      <c r="F21" s="36" t="s">
        <v>297</v>
      </c>
      <c r="G21" s="46">
        <v>1</v>
      </c>
      <c r="H21" s="46">
        <f>IFERROR(AVERAGEIFS('Tracker ToC'!$M$8:$M$78,'Tracker ToC'!$C$8:$C$78,$A21,'Tracker ToC'!$E$8:$E$78,$C21),0)</f>
        <v>1</v>
      </c>
      <c r="I21" s="36" t="str">
        <f t="shared" si="0"/>
        <v>Tercapai</v>
      </c>
      <c r="J21" s="36" t="str">
        <f>IF(COUNTIFS('Tracker ToC'!$C$8:$C$78,$A21,'Tracker ToC'!$E$8:$E$78,$C21,'Tracker ToC'!$V$8:$V$78,"Mengandung Dummy")&gt;0,"Mengandung Dummy","Terbukti")</f>
        <v>Mengandung Dummy</v>
      </c>
      <c r="K21" s="50">
        <f>COUNTIFS('Tracker ToC'!$C$8:$C$78,$A21,'Tracker ToC'!$E$8:$E$78,$C21)</f>
        <v>4</v>
      </c>
      <c r="L21" s="36" t="s">
        <v>295</v>
      </c>
      <c r="M21" s="36" t="s">
        <v>296</v>
      </c>
      <c r="N21" s="36" t="s">
        <v>358</v>
      </c>
    </row>
    <row r="22" spans="1:14" ht="72" customHeight="1">
      <c r="A22" s="44" t="s">
        <v>119</v>
      </c>
      <c r="B22" s="44" t="s">
        <v>120</v>
      </c>
      <c r="C22" s="44" t="s">
        <v>77</v>
      </c>
      <c r="D22" s="44" t="s">
        <v>364</v>
      </c>
      <c r="E22" s="44" t="s">
        <v>365</v>
      </c>
      <c r="F22" s="44" t="s">
        <v>297</v>
      </c>
      <c r="G22" s="47">
        <v>1</v>
      </c>
      <c r="H22" s="47">
        <f>IFERROR(AVERAGEIFS('Tracker ToC'!$M$8:$M$78,'Tracker ToC'!$C$8:$C$78,$A22,'Tracker ToC'!$E$8:$E$78,$C22),0)</f>
        <v>0.96470588235294119</v>
      </c>
      <c r="I22" s="44" t="str">
        <f t="shared" si="0"/>
        <v>In Progress</v>
      </c>
      <c r="J22" s="44" t="str">
        <f>IF(COUNTIFS('Tracker ToC'!$C$8:$C$78,$A22,'Tracker ToC'!$E$8:$E$78,$C22,'Tracker ToC'!$V$8:$V$78,"Mengandung Dummy")&gt;0,"Mengandung Dummy","Terbukti")</f>
        <v>Mengandung Dummy</v>
      </c>
      <c r="K22" s="51">
        <f>COUNTIFS('Tracker ToC'!$C$8:$C$78,$A22,'Tracker ToC'!$E$8:$E$78,$C22)</f>
        <v>1</v>
      </c>
      <c r="L22" s="44" t="s">
        <v>295</v>
      </c>
      <c r="M22" s="44" t="s">
        <v>296</v>
      </c>
      <c r="N22" s="44" t="s">
        <v>358</v>
      </c>
    </row>
    <row r="23" spans="1:14" ht="72" customHeight="1">
      <c r="A23" s="36" t="s">
        <v>119</v>
      </c>
      <c r="B23" s="36" t="s">
        <v>120</v>
      </c>
      <c r="C23" s="36" t="s">
        <v>78</v>
      </c>
      <c r="D23" s="36" t="s">
        <v>125</v>
      </c>
      <c r="E23" s="36" t="s">
        <v>299</v>
      </c>
      <c r="F23" s="36" t="s">
        <v>290</v>
      </c>
      <c r="G23" s="46">
        <v>1</v>
      </c>
      <c r="H23" s="46">
        <f>IFERROR(AVERAGEIFS('Tracker ToC'!$M$8:$M$78,'Tracker ToC'!$C$8:$C$78,$A23,'Tracker ToC'!$E$8:$E$78,$C23),0)</f>
        <v>0.625</v>
      </c>
      <c r="I23" s="36" t="str">
        <f t="shared" si="0"/>
        <v>Perlu Perhatian</v>
      </c>
      <c r="J23" s="36" t="str">
        <f>IF(COUNTIFS('Tracker ToC'!$C$8:$C$78,$A23,'Tracker ToC'!$E$8:$E$78,$C23,'Tracker ToC'!$V$8:$V$78,"Mengandung Dummy")&gt;0,"Mengandung Dummy","Terbukti")</f>
        <v>Mengandung Dummy</v>
      </c>
      <c r="K23" s="50">
        <f>COUNTIFS('Tracker ToC'!$C$8:$C$78,$A23,'Tracker ToC'!$E$8:$E$78,$C23)</f>
        <v>1</v>
      </c>
      <c r="L23" s="36" t="s">
        <v>295</v>
      </c>
      <c r="M23" s="36" t="s">
        <v>296</v>
      </c>
      <c r="N23" s="36" t="s">
        <v>300</v>
      </c>
    </row>
    <row r="24" spans="1:14" ht="72" customHeight="1">
      <c r="A24" s="44" t="s">
        <v>127</v>
      </c>
      <c r="B24" s="44" t="s">
        <v>128</v>
      </c>
      <c r="C24" s="44" t="s">
        <v>76</v>
      </c>
      <c r="D24" s="44" t="s">
        <v>131</v>
      </c>
      <c r="E24" s="44" t="s">
        <v>357</v>
      </c>
      <c r="F24" s="44" t="s">
        <v>304</v>
      </c>
      <c r="G24" s="47">
        <v>1</v>
      </c>
      <c r="H24" s="47">
        <f>IFERROR(AVERAGEIFS('Tracker ToC'!$M$8:$M$78,'Tracker ToC'!$C$8:$C$78,$A24,'Tracker ToC'!$E$8:$E$78,$C24),0)</f>
        <v>1</v>
      </c>
      <c r="I24" s="44" t="str">
        <f t="shared" si="0"/>
        <v>Tercapai</v>
      </c>
      <c r="J24" s="44" t="str">
        <f>IF(COUNTIFS('Tracker ToC'!$C$8:$C$78,$A24,'Tracker ToC'!$E$8:$E$78,$C24,'Tracker ToC'!$V$8:$V$78,"Mengandung Dummy")&gt;0,"Mengandung Dummy","Terbukti")</f>
        <v>Mengandung Dummy</v>
      </c>
      <c r="K24" s="51">
        <f>COUNTIFS('Tracker ToC'!$C$8:$C$78,$A24,'Tracker ToC'!$E$8:$E$78,$C24)</f>
        <v>2</v>
      </c>
      <c r="L24" s="44" t="s">
        <v>302</v>
      </c>
      <c r="M24" s="44" t="s">
        <v>303</v>
      </c>
      <c r="N24" s="44" t="s">
        <v>358</v>
      </c>
    </row>
    <row r="25" spans="1:14" ht="72" customHeight="1">
      <c r="A25" s="36" t="s">
        <v>127</v>
      </c>
      <c r="B25" s="36" t="s">
        <v>128</v>
      </c>
      <c r="C25" s="36" t="s">
        <v>77</v>
      </c>
      <c r="D25" s="36" t="s">
        <v>366</v>
      </c>
      <c r="E25" s="36" t="s">
        <v>367</v>
      </c>
      <c r="F25" s="36" t="s">
        <v>304</v>
      </c>
      <c r="G25" s="46">
        <v>1</v>
      </c>
      <c r="H25" s="46">
        <f>IFERROR(AVERAGEIFS('Tracker ToC'!$M$8:$M$78,'Tracker ToC'!$C$8:$C$78,$A25,'Tracker ToC'!$E$8:$E$78,$C25),0)</f>
        <v>0.94666666666666666</v>
      </c>
      <c r="I25" s="36" t="str">
        <f t="shared" si="0"/>
        <v>In Progress</v>
      </c>
      <c r="J25" s="36" t="str">
        <f>IF(COUNTIFS('Tracker ToC'!$C$8:$C$78,$A25,'Tracker ToC'!$E$8:$E$78,$C25,'Tracker ToC'!$V$8:$V$78,"Mengandung Dummy")&gt;0,"Mengandung Dummy","Terbukti")</f>
        <v>Mengandung Dummy</v>
      </c>
      <c r="K25" s="50">
        <f>COUNTIFS('Tracker ToC'!$C$8:$C$78,$A25,'Tracker ToC'!$E$8:$E$78,$C25)</f>
        <v>1</v>
      </c>
      <c r="L25" s="36" t="s">
        <v>302</v>
      </c>
      <c r="M25" s="36" t="s">
        <v>303</v>
      </c>
      <c r="N25" s="36" t="s">
        <v>358</v>
      </c>
    </row>
    <row r="26" spans="1:14" ht="72" customHeight="1">
      <c r="A26" s="44" t="s">
        <v>127</v>
      </c>
      <c r="B26" s="44" t="s">
        <v>128</v>
      </c>
      <c r="C26" s="44" t="s">
        <v>78</v>
      </c>
      <c r="D26" s="44" t="s">
        <v>133</v>
      </c>
      <c r="E26" s="44" t="s">
        <v>305</v>
      </c>
      <c r="F26" s="44" t="s">
        <v>290</v>
      </c>
      <c r="G26" s="47">
        <v>1</v>
      </c>
      <c r="H26" s="47">
        <f>IFERROR(AVERAGEIFS('Tracker ToC'!$M$8:$M$78,'Tracker ToC'!$C$8:$C$78,$A26,'Tracker ToC'!$E$8:$E$78,$C26),0)</f>
        <v>0.5</v>
      </c>
      <c r="I26" s="44" t="str">
        <f t="shared" si="0"/>
        <v>Perlu Perhatian</v>
      </c>
      <c r="J26" s="44" t="str">
        <f>IF(COUNTIFS('Tracker ToC'!$C$8:$C$78,$A26,'Tracker ToC'!$E$8:$E$78,$C26,'Tracker ToC'!$V$8:$V$78,"Mengandung Dummy")&gt;0,"Mengandung Dummy","Terbukti")</f>
        <v>Mengandung Dummy</v>
      </c>
      <c r="K26" s="51">
        <f>COUNTIFS('Tracker ToC'!$C$8:$C$78,$A26,'Tracker ToC'!$E$8:$E$78,$C26)</f>
        <v>1</v>
      </c>
      <c r="L26" s="44" t="s">
        <v>302</v>
      </c>
      <c r="M26" s="44" t="s">
        <v>303</v>
      </c>
      <c r="N26" s="44" t="s">
        <v>306</v>
      </c>
    </row>
    <row r="27" spans="1:14" ht="72" customHeight="1">
      <c r="A27" s="36" t="s">
        <v>135</v>
      </c>
      <c r="B27" s="36" t="s">
        <v>136</v>
      </c>
      <c r="C27" s="36" t="s">
        <v>76</v>
      </c>
      <c r="D27" s="36" t="s">
        <v>139</v>
      </c>
      <c r="E27" s="36" t="s">
        <v>357</v>
      </c>
      <c r="F27" s="36" t="s">
        <v>304</v>
      </c>
      <c r="G27" s="46">
        <v>1</v>
      </c>
      <c r="H27" s="46">
        <f>IFERROR(AVERAGEIFS('Tracker ToC'!$M$8:$M$78,'Tracker ToC'!$C$8:$C$78,$A27,'Tracker ToC'!$E$8:$E$78,$C27),0)</f>
        <v>1</v>
      </c>
      <c r="I27" s="36" t="str">
        <f t="shared" si="0"/>
        <v>Tercapai</v>
      </c>
      <c r="J27" s="36" t="str">
        <f>IF(COUNTIFS('Tracker ToC'!$C$8:$C$78,$A27,'Tracker ToC'!$E$8:$E$78,$C27,'Tracker ToC'!$V$8:$V$78,"Mengandung Dummy")&gt;0,"Mengandung Dummy","Terbukti")</f>
        <v>Mengandung Dummy</v>
      </c>
      <c r="K27" s="50">
        <f>COUNTIFS('Tracker ToC'!$C$8:$C$78,$A27,'Tracker ToC'!$E$8:$E$78,$C27)</f>
        <v>2</v>
      </c>
      <c r="L27" s="36" t="s">
        <v>308</v>
      </c>
      <c r="M27" s="36" t="s">
        <v>303</v>
      </c>
      <c r="N27" s="36" t="s">
        <v>358</v>
      </c>
    </row>
    <row r="28" spans="1:14" ht="72" customHeight="1">
      <c r="A28" s="44" t="s">
        <v>135</v>
      </c>
      <c r="B28" s="44" t="s">
        <v>136</v>
      </c>
      <c r="C28" s="44" t="s">
        <v>77</v>
      </c>
      <c r="D28" s="44" t="s">
        <v>368</v>
      </c>
      <c r="E28" s="44" t="s">
        <v>369</v>
      </c>
      <c r="F28" s="44" t="s">
        <v>304</v>
      </c>
      <c r="G28" s="47">
        <v>1</v>
      </c>
      <c r="H28" s="47">
        <f>IFERROR(AVERAGEIFS('Tracker ToC'!$M$8:$M$78,'Tracker ToC'!$C$8:$C$78,$A28,'Tracker ToC'!$E$8:$E$78,$C28),0)</f>
        <v>0.88571428571428579</v>
      </c>
      <c r="I28" s="44" t="str">
        <f t="shared" si="0"/>
        <v>In Progress</v>
      </c>
      <c r="J28" s="44" t="str">
        <f>IF(COUNTIFS('Tracker ToC'!$C$8:$C$78,$A28,'Tracker ToC'!$E$8:$E$78,$C28,'Tracker ToC'!$V$8:$V$78,"Mengandung Dummy")&gt;0,"Mengandung Dummy","Terbukti")</f>
        <v>Mengandung Dummy</v>
      </c>
      <c r="K28" s="51">
        <f>COUNTIFS('Tracker ToC'!$C$8:$C$78,$A28,'Tracker ToC'!$E$8:$E$78,$C28)</f>
        <v>1</v>
      </c>
      <c r="L28" s="44" t="s">
        <v>308</v>
      </c>
      <c r="M28" s="44" t="s">
        <v>303</v>
      </c>
      <c r="N28" s="44" t="s">
        <v>358</v>
      </c>
    </row>
    <row r="29" spans="1:14" ht="72" customHeight="1">
      <c r="A29" s="36" t="s">
        <v>135</v>
      </c>
      <c r="B29" s="36" t="s">
        <v>136</v>
      </c>
      <c r="C29" s="36" t="s">
        <v>78</v>
      </c>
      <c r="D29" s="36" t="s">
        <v>125</v>
      </c>
      <c r="E29" s="36" t="s">
        <v>299</v>
      </c>
      <c r="F29" s="36" t="s">
        <v>290</v>
      </c>
      <c r="G29" s="46">
        <v>1</v>
      </c>
      <c r="H29" s="46">
        <f>IFERROR(AVERAGEIFS('Tracker ToC'!$M$8:$M$78,'Tracker ToC'!$C$8:$C$78,$A29,'Tracker ToC'!$E$8:$E$78,$C29),0)</f>
        <v>0.6</v>
      </c>
      <c r="I29" s="36" t="str">
        <f t="shared" si="0"/>
        <v>Perlu Perhatian</v>
      </c>
      <c r="J29" s="36" t="str">
        <f>IF(COUNTIFS('Tracker ToC'!$C$8:$C$78,$A29,'Tracker ToC'!$E$8:$E$78,$C29,'Tracker ToC'!$V$8:$V$78,"Mengandung Dummy")&gt;0,"Mengandung Dummy","Terbukti")</f>
        <v>Mengandung Dummy</v>
      </c>
      <c r="K29" s="50">
        <f>COUNTIFS('Tracker ToC'!$C$8:$C$78,$A29,'Tracker ToC'!$E$8:$E$78,$C29)</f>
        <v>1</v>
      </c>
      <c r="L29" s="36" t="s">
        <v>308</v>
      </c>
      <c r="M29" s="36" t="s">
        <v>303</v>
      </c>
      <c r="N29" s="36" t="s">
        <v>300</v>
      </c>
    </row>
    <row r="30" spans="1:14" ht="72" customHeight="1">
      <c r="A30" s="44" t="s">
        <v>142</v>
      </c>
      <c r="B30" s="44" t="s">
        <v>143</v>
      </c>
      <c r="C30" s="44" t="s">
        <v>76</v>
      </c>
      <c r="D30" s="44" t="s">
        <v>146</v>
      </c>
      <c r="E30" s="44" t="s">
        <v>357</v>
      </c>
      <c r="F30" s="44" t="s">
        <v>311</v>
      </c>
      <c r="G30" s="47">
        <v>1</v>
      </c>
      <c r="H30" s="47">
        <f>IFERROR(AVERAGEIFS('Tracker ToC'!$M$8:$M$78,'Tracker ToC'!$C$8:$C$78,$A30,'Tracker ToC'!$E$8:$E$78,$C30),0)</f>
        <v>1</v>
      </c>
      <c r="I30" s="44" t="str">
        <f t="shared" si="0"/>
        <v>Tercapai</v>
      </c>
      <c r="J30" s="44" t="str">
        <f>IF(COUNTIFS('Tracker ToC'!$C$8:$C$78,$A30,'Tracker ToC'!$E$8:$E$78,$C30,'Tracker ToC'!$V$8:$V$78,"Mengandung Dummy")&gt;0,"Mengandung Dummy","Terbukti")</f>
        <v>Mengandung Dummy</v>
      </c>
      <c r="K30" s="51">
        <f>COUNTIFS('Tracker ToC'!$C$8:$C$78,$A30,'Tracker ToC'!$E$8:$E$78,$C30)</f>
        <v>2</v>
      </c>
      <c r="L30" s="44" t="s">
        <v>310</v>
      </c>
      <c r="M30" s="44" t="s">
        <v>303</v>
      </c>
      <c r="N30" s="44" t="s">
        <v>358</v>
      </c>
    </row>
    <row r="31" spans="1:14" ht="72" customHeight="1">
      <c r="A31" s="36" t="s">
        <v>142</v>
      </c>
      <c r="B31" s="36" t="s">
        <v>143</v>
      </c>
      <c r="C31" s="36" t="s">
        <v>77</v>
      </c>
      <c r="D31" s="36" t="s">
        <v>370</v>
      </c>
      <c r="E31" s="36" t="s">
        <v>371</v>
      </c>
      <c r="F31" s="36" t="s">
        <v>311</v>
      </c>
      <c r="G31" s="46">
        <v>1</v>
      </c>
      <c r="H31" s="46">
        <f>IFERROR(AVERAGEIFS('Tracker ToC'!$M$8:$M$78,'Tracker ToC'!$C$8:$C$78,$A31,'Tracker ToC'!$E$8:$E$78,$C31),0)</f>
        <v>0.78571428571428581</v>
      </c>
      <c r="I31" s="36" t="str">
        <f t="shared" si="0"/>
        <v>Perlu Perhatian</v>
      </c>
      <c r="J31" s="36" t="str">
        <f>IF(COUNTIFS('Tracker ToC'!$C$8:$C$78,$A31,'Tracker ToC'!$E$8:$E$78,$C31,'Tracker ToC'!$V$8:$V$78,"Mengandung Dummy")&gt;0,"Mengandung Dummy","Terbukti")</f>
        <v>Mengandung Dummy</v>
      </c>
      <c r="K31" s="50">
        <f>COUNTIFS('Tracker ToC'!$C$8:$C$78,$A31,'Tracker ToC'!$E$8:$E$78,$C31)</f>
        <v>1</v>
      </c>
      <c r="L31" s="36" t="s">
        <v>310</v>
      </c>
      <c r="M31" s="36" t="s">
        <v>303</v>
      </c>
      <c r="N31" s="36" t="s">
        <v>358</v>
      </c>
    </row>
    <row r="32" spans="1:14" ht="72" customHeight="1">
      <c r="A32" s="44" t="s">
        <v>142</v>
      </c>
      <c r="B32" s="44" t="s">
        <v>143</v>
      </c>
      <c r="C32" s="44" t="s">
        <v>78</v>
      </c>
      <c r="D32" s="44" t="s">
        <v>133</v>
      </c>
      <c r="E32" s="44" t="s">
        <v>305</v>
      </c>
      <c r="F32" s="44" t="s">
        <v>290</v>
      </c>
      <c r="G32" s="47">
        <v>1</v>
      </c>
      <c r="H32" s="47">
        <f>IFERROR(AVERAGEIFS('Tracker ToC'!$M$8:$M$78,'Tracker ToC'!$C$8:$C$78,$A32,'Tracker ToC'!$E$8:$E$78,$C32),0)</f>
        <v>0.75</v>
      </c>
      <c r="I32" s="44" t="str">
        <f t="shared" si="0"/>
        <v>Perlu Perhatian</v>
      </c>
      <c r="J32" s="44" t="str">
        <f>IF(COUNTIFS('Tracker ToC'!$C$8:$C$78,$A32,'Tracker ToC'!$E$8:$E$78,$C32,'Tracker ToC'!$V$8:$V$78,"Mengandung Dummy")&gt;0,"Mengandung Dummy","Terbukti")</f>
        <v>Mengandung Dummy</v>
      </c>
      <c r="K32" s="51">
        <f>COUNTIFS('Tracker ToC'!$C$8:$C$78,$A32,'Tracker ToC'!$E$8:$E$78,$C32)</f>
        <v>1</v>
      </c>
      <c r="L32" s="44" t="s">
        <v>310</v>
      </c>
      <c r="M32" s="44" t="s">
        <v>303</v>
      </c>
      <c r="N32" s="44" t="s">
        <v>306</v>
      </c>
    </row>
    <row r="33" spans="1:14" ht="72" customHeight="1">
      <c r="A33" s="36" t="s">
        <v>161</v>
      </c>
      <c r="B33" s="36" t="s">
        <v>162</v>
      </c>
      <c r="C33" s="36" t="s">
        <v>76</v>
      </c>
      <c r="D33" s="36" t="s">
        <v>632</v>
      </c>
      <c r="E33" s="36" t="s">
        <v>357</v>
      </c>
      <c r="F33" s="36" t="s">
        <v>311</v>
      </c>
      <c r="G33" s="46">
        <v>1</v>
      </c>
      <c r="H33" s="46">
        <f>IFERROR(AVERAGEIFS('Tracker ToC'!$M$8:$M$78,'Tracker ToC'!$C$8:$C$78,$A33,'Tracker ToC'!$E$8:$E$78,$C33),0)</f>
        <v>0.33333333333333331</v>
      </c>
      <c r="I33" s="36" t="str">
        <f t="shared" si="0"/>
        <v>Perlu Perhatian</v>
      </c>
      <c r="J33" s="36" t="str">
        <f>IF(COUNTIFS('Tracker ToC'!$C$8:$C$78,$A33,'Tracker ToC'!$E$8:$E$78,$C33,'Tracker ToC'!$V$8:$V$78,"Mengandung Dummy")&gt;0,"Mengandung Dummy","Terbukti")</f>
        <v>Mengandung Dummy</v>
      </c>
      <c r="K33" s="50">
        <f>COUNTIFS('Tracker ToC'!$C$8:$C$78,$A33,'Tracker ToC'!$E$8:$E$78,$C33)</f>
        <v>1</v>
      </c>
      <c r="L33" s="36" t="s">
        <v>312</v>
      </c>
      <c r="M33" s="36" t="s">
        <v>313</v>
      </c>
      <c r="N33" s="36" t="s">
        <v>358</v>
      </c>
    </row>
    <row r="34" spans="1:14" ht="72" customHeight="1">
      <c r="A34" s="44" t="s">
        <v>161</v>
      </c>
      <c r="B34" s="44" t="s">
        <v>162</v>
      </c>
      <c r="C34" s="44" t="s">
        <v>77</v>
      </c>
      <c r="D34" s="44" t="s">
        <v>372</v>
      </c>
      <c r="E34" s="44" t="s">
        <v>373</v>
      </c>
      <c r="F34" s="44" t="s">
        <v>311</v>
      </c>
      <c r="G34" s="47">
        <v>1</v>
      </c>
      <c r="H34" s="47">
        <f>IFERROR(AVERAGEIFS('Tracker ToC'!$M$8:$M$78,'Tracker ToC'!$C$8:$C$78,$A34,'Tracker ToC'!$E$8:$E$78,$C34),0)</f>
        <v>0.625</v>
      </c>
      <c r="I34" s="44" t="str">
        <f t="shared" si="0"/>
        <v>Perlu Perhatian</v>
      </c>
      <c r="J34" s="44" t="str">
        <f>IF(COUNTIFS('Tracker ToC'!$C$8:$C$78,$A34,'Tracker ToC'!$E$8:$E$78,$C34,'Tracker ToC'!$V$8:$V$78,"Mengandung Dummy")&gt;0,"Mengandung Dummy","Terbukti")</f>
        <v>Mengandung Dummy</v>
      </c>
      <c r="K34" s="51">
        <f>COUNTIFS('Tracker ToC'!$C$8:$C$78,$A34,'Tracker ToC'!$E$8:$E$78,$C34)</f>
        <v>1</v>
      </c>
      <c r="L34" s="44" t="s">
        <v>312</v>
      </c>
      <c r="M34" s="44" t="s">
        <v>313</v>
      </c>
      <c r="N34" s="44" t="s">
        <v>358</v>
      </c>
    </row>
    <row r="35" spans="1:14" ht="72" customHeight="1">
      <c r="A35" s="36" t="s">
        <v>161</v>
      </c>
      <c r="B35" s="36" t="s">
        <v>162</v>
      </c>
      <c r="C35" s="36" t="s">
        <v>78</v>
      </c>
      <c r="D35" s="36" t="s">
        <v>166</v>
      </c>
      <c r="E35" s="36" t="s">
        <v>314</v>
      </c>
      <c r="F35" s="36" t="s">
        <v>290</v>
      </c>
      <c r="G35" s="46">
        <v>1</v>
      </c>
      <c r="H35" s="46">
        <f>IFERROR(AVERAGEIFS('Tracker ToC'!$M$8:$M$78,'Tracker ToC'!$C$8:$C$78,$A35,'Tracker ToC'!$E$8:$E$78,$C35),0)</f>
        <v>0.57142857142857151</v>
      </c>
      <c r="I35" s="36" t="str">
        <f t="shared" si="0"/>
        <v>Perlu Perhatian</v>
      </c>
      <c r="J35" s="36" t="str">
        <f>IF(COUNTIFS('Tracker ToC'!$C$8:$C$78,$A35,'Tracker ToC'!$E$8:$E$78,$C35,'Tracker ToC'!$V$8:$V$78,"Mengandung Dummy")&gt;0,"Mengandung Dummy","Terbukti")</f>
        <v>Mengandung Dummy</v>
      </c>
      <c r="K35" s="50">
        <f>COUNTIFS('Tracker ToC'!$C$8:$C$78,$A35,'Tracker ToC'!$E$8:$E$78,$C35)</f>
        <v>1</v>
      </c>
      <c r="L35" s="36" t="s">
        <v>312</v>
      </c>
      <c r="M35" s="36" t="s">
        <v>313</v>
      </c>
      <c r="N35" s="36" t="s">
        <v>315</v>
      </c>
    </row>
    <row r="36" spans="1:14" ht="72" customHeight="1">
      <c r="A36" s="44" t="s">
        <v>168</v>
      </c>
      <c r="B36" s="44" t="s">
        <v>169</v>
      </c>
      <c r="C36" s="44" t="s">
        <v>76</v>
      </c>
      <c r="D36" s="44" t="s">
        <v>172</v>
      </c>
      <c r="E36" s="44" t="s">
        <v>357</v>
      </c>
      <c r="F36" s="44" t="s">
        <v>319</v>
      </c>
      <c r="G36" s="47">
        <v>1</v>
      </c>
      <c r="H36" s="47">
        <f>IFERROR(AVERAGEIFS('Tracker ToC'!$M$8:$M$78,'Tracker ToC'!$C$8:$C$78,$A36,'Tracker ToC'!$E$8:$E$78,$C36),0)</f>
        <v>0.5</v>
      </c>
      <c r="I36" s="44" t="str">
        <f t="shared" si="0"/>
        <v>Perlu Perhatian</v>
      </c>
      <c r="J36" s="44" t="str">
        <f>IF(COUNTIFS('Tracker ToC'!$C$8:$C$78,$A36,'Tracker ToC'!$E$8:$E$78,$C36,'Tracker ToC'!$V$8:$V$78,"Mengandung Dummy")&gt;0,"Mengandung Dummy","Terbukti")</f>
        <v>Mengandung Dummy</v>
      </c>
      <c r="K36" s="51">
        <f>COUNTIFS('Tracker ToC'!$C$8:$C$78,$A36,'Tracker ToC'!$E$8:$E$78,$C36)</f>
        <v>1</v>
      </c>
      <c r="L36" s="44" t="s">
        <v>317</v>
      </c>
      <c r="M36" s="44" t="s">
        <v>318</v>
      </c>
      <c r="N36" s="44" t="s">
        <v>358</v>
      </c>
    </row>
    <row r="37" spans="1:14" ht="72" customHeight="1">
      <c r="A37" s="36" t="s">
        <v>168</v>
      </c>
      <c r="B37" s="36" t="s">
        <v>169</v>
      </c>
      <c r="C37" s="36" t="s">
        <v>77</v>
      </c>
      <c r="D37" s="36" t="s">
        <v>374</v>
      </c>
      <c r="E37" s="36" t="s">
        <v>375</v>
      </c>
      <c r="F37" s="36" t="s">
        <v>319</v>
      </c>
      <c r="G37" s="46">
        <v>1</v>
      </c>
      <c r="H37" s="46">
        <f>IFERROR(AVERAGEIFS('Tracker ToC'!$M$8:$M$78,'Tracker ToC'!$C$8:$C$78,$A37,'Tracker ToC'!$E$8:$E$78,$C37),0)</f>
        <v>0.33333333333333331</v>
      </c>
      <c r="I37" s="36" t="str">
        <f t="shared" si="0"/>
        <v>Perlu Perhatian</v>
      </c>
      <c r="J37" s="36" t="str">
        <f>IF(COUNTIFS('Tracker ToC'!$C$8:$C$78,$A37,'Tracker ToC'!$E$8:$E$78,$C37,'Tracker ToC'!$V$8:$V$78,"Mengandung Dummy")&gt;0,"Mengandung Dummy","Terbukti")</f>
        <v>Mengandung Dummy</v>
      </c>
      <c r="K37" s="50">
        <f>COUNTIFS('Tracker ToC'!$C$8:$C$78,$A37,'Tracker ToC'!$E$8:$E$78,$C37)</f>
        <v>1</v>
      </c>
      <c r="L37" s="36" t="s">
        <v>317</v>
      </c>
      <c r="M37" s="36" t="s">
        <v>318</v>
      </c>
      <c r="N37" s="36" t="s">
        <v>358</v>
      </c>
    </row>
    <row r="38" spans="1:14" ht="72" customHeight="1">
      <c r="A38" s="44" t="s">
        <v>168</v>
      </c>
      <c r="B38" s="44" t="s">
        <v>169</v>
      </c>
      <c r="C38" s="44" t="s">
        <v>78</v>
      </c>
      <c r="D38" s="44" t="s">
        <v>174</v>
      </c>
      <c r="E38" s="44" t="s">
        <v>320</v>
      </c>
      <c r="F38" s="44" t="s">
        <v>322</v>
      </c>
      <c r="G38" s="47">
        <v>1</v>
      </c>
      <c r="H38" s="47">
        <f>IFERROR(AVERAGEIFS('Tracker ToC'!$M$8:$M$78,'Tracker ToC'!$C$8:$C$78,$A38,'Tracker ToC'!$E$8:$E$78,$C38),0)</f>
        <v>0.6428571428571429</v>
      </c>
      <c r="I38" s="44" t="str">
        <f t="shared" si="0"/>
        <v>Perlu Perhatian</v>
      </c>
      <c r="J38" s="44" t="str">
        <f>IF(COUNTIFS('Tracker ToC'!$C$8:$C$78,$A38,'Tracker ToC'!$E$8:$E$78,$C38,'Tracker ToC'!$V$8:$V$78,"Mengandung Dummy")&gt;0,"Mengandung Dummy","Terbukti")</f>
        <v>Mengandung Dummy</v>
      </c>
      <c r="K38" s="51">
        <f>COUNTIFS('Tracker ToC'!$C$8:$C$78,$A38,'Tracker ToC'!$E$8:$E$78,$C38)</f>
        <v>1</v>
      </c>
      <c r="L38" s="44" t="s">
        <v>317</v>
      </c>
      <c r="M38" s="44" t="s">
        <v>318</v>
      </c>
      <c r="N38" s="44" t="s">
        <v>321</v>
      </c>
    </row>
    <row r="39" spans="1:14" ht="72" customHeight="1">
      <c r="A39" s="36" t="s">
        <v>176</v>
      </c>
      <c r="B39" s="36" t="s">
        <v>177</v>
      </c>
      <c r="C39" s="36" t="s">
        <v>76</v>
      </c>
      <c r="D39" s="36" t="s">
        <v>180</v>
      </c>
      <c r="E39" s="36" t="s">
        <v>357</v>
      </c>
      <c r="F39" s="36" t="s">
        <v>326</v>
      </c>
      <c r="G39" s="46">
        <v>1</v>
      </c>
      <c r="H39" s="46">
        <f>IFERROR(AVERAGEIFS('Tracker ToC'!$M$8:$M$78,'Tracker ToC'!$C$8:$C$78,$A39,'Tracker ToC'!$E$8:$E$78,$C39),0)</f>
        <v>0.5</v>
      </c>
      <c r="I39" s="36" t="str">
        <f t="shared" si="0"/>
        <v>Perlu Perhatian</v>
      </c>
      <c r="J39" s="36" t="str">
        <f>IF(COUNTIFS('Tracker ToC'!$C$8:$C$78,$A39,'Tracker ToC'!$E$8:$E$78,$C39,'Tracker ToC'!$V$8:$V$78,"Mengandung Dummy")&gt;0,"Mengandung Dummy","Terbukti")</f>
        <v>Mengandung Dummy</v>
      </c>
      <c r="K39" s="50">
        <f>COUNTIFS('Tracker ToC'!$C$8:$C$78,$A39,'Tracker ToC'!$E$8:$E$78,$C39)</f>
        <v>1</v>
      </c>
      <c r="L39" s="36" t="s">
        <v>324</v>
      </c>
      <c r="M39" s="36" t="s">
        <v>325</v>
      </c>
      <c r="N39" s="36" t="s">
        <v>358</v>
      </c>
    </row>
    <row r="40" spans="1:14" ht="72" customHeight="1">
      <c r="A40" s="44" t="s">
        <v>176</v>
      </c>
      <c r="B40" s="44" t="s">
        <v>177</v>
      </c>
      <c r="C40" s="44" t="s">
        <v>77</v>
      </c>
      <c r="D40" s="44" t="s">
        <v>376</v>
      </c>
      <c r="E40" s="44" t="s">
        <v>377</v>
      </c>
      <c r="F40" s="44" t="s">
        <v>326</v>
      </c>
      <c r="G40" s="47">
        <v>1</v>
      </c>
      <c r="H40" s="47">
        <f>IFERROR(AVERAGEIFS('Tracker ToC'!$M$8:$M$78,'Tracker ToC'!$C$8:$C$78,$A40,'Tracker ToC'!$E$8:$E$78,$C40),0)</f>
        <v>0.92857142857142871</v>
      </c>
      <c r="I40" s="44" t="str">
        <f t="shared" si="0"/>
        <v>In Progress</v>
      </c>
      <c r="J40" s="44" t="str">
        <f>IF(COUNTIFS('Tracker ToC'!$C$8:$C$78,$A40,'Tracker ToC'!$E$8:$E$78,$C40,'Tracker ToC'!$V$8:$V$78,"Mengandung Dummy")&gt;0,"Mengandung Dummy","Terbukti")</f>
        <v>Mengandung Dummy</v>
      </c>
      <c r="K40" s="51">
        <f>COUNTIFS('Tracker ToC'!$C$8:$C$78,$A40,'Tracker ToC'!$E$8:$E$78,$C40)</f>
        <v>1</v>
      </c>
      <c r="L40" s="44" t="s">
        <v>324</v>
      </c>
      <c r="M40" s="44" t="s">
        <v>325</v>
      </c>
      <c r="N40" s="44" t="s">
        <v>358</v>
      </c>
    </row>
    <row r="41" spans="1:14" ht="72" customHeight="1">
      <c r="A41" s="36" t="s">
        <v>176</v>
      </c>
      <c r="B41" s="36" t="s">
        <v>177</v>
      </c>
      <c r="C41" s="36" t="s">
        <v>78</v>
      </c>
      <c r="D41" s="36" t="s">
        <v>182</v>
      </c>
      <c r="E41" s="36" t="s">
        <v>327</v>
      </c>
      <c r="F41" s="36" t="s">
        <v>322</v>
      </c>
      <c r="G41" s="46">
        <v>1</v>
      </c>
      <c r="H41" s="46">
        <f>IFERROR(AVERAGEIFS('Tracker ToC'!$M$8:$M$78,'Tracker ToC'!$C$8:$C$78,$A41,'Tracker ToC'!$E$8:$E$78,$C41),0)</f>
        <v>0.66666666666666663</v>
      </c>
      <c r="I41" s="36" t="str">
        <f t="shared" si="0"/>
        <v>Perlu Perhatian</v>
      </c>
      <c r="J41" s="36" t="str">
        <f>IF(COUNTIFS('Tracker ToC'!$C$8:$C$78,$A41,'Tracker ToC'!$E$8:$E$78,$C41,'Tracker ToC'!$V$8:$V$78,"Mengandung Dummy")&gt;0,"Mengandung Dummy","Terbukti")</f>
        <v>Mengandung Dummy</v>
      </c>
      <c r="K41" s="50">
        <f>COUNTIFS('Tracker ToC'!$C$8:$C$78,$A41,'Tracker ToC'!$E$8:$E$78,$C41)</f>
        <v>1</v>
      </c>
      <c r="L41" s="36" t="s">
        <v>324</v>
      </c>
      <c r="M41" s="36" t="s">
        <v>325</v>
      </c>
      <c r="N41" s="36" t="s">
        <v>328</v>
      </c>
    </row>
    <row r="42" spans="1:14" ht="72" customHeight="1">
      <c r="A42" s="44" t="s">
        <v>184</v>
      </c>
      <c r="B42" s="44" t="s">
        <v>185</v>
      </c>
      <c r="C42" s="44" t="s">
        <v>76</v>
      </c>
      <c r="D42" s="44" t="s">
        <v>188</v>
      </c>
      <c r="E42" s="44" t="s">
        <v>357</v>
      </c>
      <c r="F42" s="44" t="s">
        <v>326</v>
      </c>
      <c r="G42" s="47">
        <v>1</v>
      </c>
      <c r="H42" s="47">
        <f>IFERROR(AVERAGEIFS('Tracker ToC'!$M$8:$M$78,'Tracker ToC'!$C$8:$C$78,$A42,'Tracker ToC'!$E$8:$E$78,$C42),0)</f>
        <v>0.5</v>
      </c>
      <c r="I42" s="44" t="str">
        <f t="shared" si="0"/>
        <v>Perlu Perhatian</v>
      </c>
      <c r="J42" s="44" t="str">
        <f>IF(COUNTIFS('Tracker ToC'!$C$8:$C$78,$A42,'Tracker ToC'!$E$8:$E$78,$C42,'Tracker ToC'!$V$8:$V$78,"Mengandung Dummy")&gt;0,"Mengandung Dummy","Terbukti")</f>
        <v>Mengandung Dummy</v>
      </c>
      <c r="K42" s="51">
        <f>COUNTIFS('Tracker ToC'!$C$8:$C$78,$A42,'Tracker ToC'!$E$8:$E$78,$C42)</f>
        <v>1</v>
      </c>
      <c r="L42" s="44" t="s">
        <v>330</v>
      </c>
      <c r="M42" s="44" t="s">
        <v>331</v>
      </c>
      <c r="N42" s="44" t="s">
        <v>358</v>
      </c>
    </row>
    <row r="43" spans="1:14" ht="72" customHeight="1">
      <c r="A43" s="36" t="s">
        <v>184</v>
      </c>
      <c r="B43" s="36" t="s">
        <v>185</v>
      </c>
      <c r="C43" s="36" t="s">
        <v>77</v>
      </c>
      <c r="D43" s="36" t="s">
        <v>378</v>
      </c>
      <c r="E43" s="36" t="s">
        <v>379</v>
      </c>
      <c r="F43" s="36" t="s">
        <v>326</v>
      </c>
      <c r="G43" s="46">
        <v>1</v>
      </c>
      <c r="H43" s="46">
        <f>IFERROR(AVERAGEIFS('Tracker ToC'!$M$8:$M$78,'Tracker ToC'!$C$8:$C$78,$A43,'Tracker ToC'!$E$8:$E$78,$C43),0)</f>
        <v>0.91666666666666674</v>
      </c>
      <c r="I43" s="36" t="str">
        <f t="shared" si="0"/>
        <v>In Progress</v>
      </c>
      <c r="J43" s="36" t="str">
        <f>IF(COUNTIFS('Tracker ToC'!$C$8:$C$78,$A43,'Tracker ToC'!$E$8:$E$78,$C43,'Tracker ToC'!$V$8:$V$78,"Mengandung Dummy")&gt;0,"Mengandung Dummy","Terbukti")</f>
        <v>Mengandung Dummy</v>
      </c>
      <c r="K43" s="50">
        <f>COUNTIFS('Tracker ToC'!$C$8:$C$78,$A43,'Tracker ToC'!$E$8:$E$78,$C43)</f>
        <v>1</v>
      </c>
      <c r="L43" s="36" t="s">
        <v>330</v>
      </c>
      <c r="M43" s="36" t="s">
        <v>331</v>
      </c>
      <c r="N43" s="36" t="s">
        <v>358</v>
      </c>
    </row>
    <row r="44" spans="1:14" ht="72" customHeight="1">
      <c r="A44" s="44" t="s">
        <v>184</v>
      </c>
      <c r="B44" s="44" t="s">
        <v>185</v>
      </c>
      <c r="C44" s="44" t="s">
        <v>78</v>
      </c>
      <c r="D44" s="44" t="s">
        <v>190</v>
      </c>
      <c r="E44" s="44" t="s">
        <v>332</v>
      </c>
      <c r="F44" s="44" t="s">
        <v>322</v>
      </c>
      <c r="G44" s="47">
        <v>1</v>
      </c>
      <c r="H44" s="47">
        <f>IFERROR(AVERAGEIFS('Tracker ToC'!$M$8:$M$78,'Tracker ToC'!$C$8:$C$78,$A44,'Tracker ToC'!$E$8:$E$78,$C44),0)</f>
        <v>0.6428571428571429</v>
      </c>
      <c r="I44" s="44" t="str">
        <f t="shared" si="0"/>
        <v>Perlu Perhatian</v>
      </c>
      <c r="J44" s="44" t="str">
        <f>IF(COUNTIFS('Tracker ToC'!$C$8:$C$78,$A44,'Tracker ToC'!$E$8:$E$78,$C44,'Tracker ToC'!$V$8:$V$78,"Mengandung Dummy")&gt;0,"Mengandung Dummy","Terbukti")</f>
        <v>Mengandung Dummy</v>
      </c>
      <c r="K44" s="51">
        <f>COUNTIFS('Tracker ToC'!$C$8:$C$78,$A44,'Tracker ToC'!$E$8:$E$78,$C44)</f>
        <v>1</v>
      </c>
      <c r="L44" s="44" t="s">
        <v>330</v>
      </c>
      <c r="M44" s="44" t="s">
        <v>331</v>
      </c>
      <c r="N44" s="44" t="s">
        <v>333</v>
      </c>
    </row>
    <row r="45" spans="1:14" ht="72" customHeight="1">
      <c r="A45" s="36" t="s">
        <v>192</v>
      </c>
      <c r="B45" s="36" t="s">
        <v>193</v>
      </c>
      <c r="C45" s="36" t="s">
        <v>76</v>
      </c>
      <c r="D45" s="36" t="s">
        <v>196</v>
      </c>
      <c r="E45" s="36" t="s">
        <v>357</v>
      </c>
      <c r="F45" s="36" t="s">
        <v>319</v>
      </c>
      <c r="G45" s="46">
        <v>1</v>
      </c>
      <c r="H45" s="46">
        <f>IFERROR(AVERAGEIFS('Tracker ToC'!$M$8:$M$78,'Tracker ToC'!$C$8:$C$78,$A45,'Tracker ToC'!$E$8:$E$78,$C45),0)</f>
        <v>0</v>
      </c>
      <c r="I45" s="36" t="str">
        <f t="shared" si="0"/>
        <v>Perlu Perhatian</v>
      </c>
      <c r="J45" s="36" t="str">
        <f>IF(COUNTIFS('Tracker ToC'!$C$8:$C$78,$A45,'Tracker ToC'!$E$8:$E$78,$C45,'Tracker ToC'!$V$8:$V$78,"Mengandung Dummy")&gt;0,"Mengandung Dummy","Terbukti")</f>
        <v>Mengandung Dummy</v>
      </c>
      <c r="K45" s="50">
        <f>COUNTIFS('Tracker ToC'!$C$8:$C$78,$A45,'Tracker ToC'!$E$8:$E$78,$C45)</f>
        <v>1</v>
      </c>
      <c r="L45" s="36" t="s">
        <v>335</v>
      </c>
      <c r="M45" s="36" t="s">
        <v>336</v>
      </c>
      <c r="N45" s="36" t="s">
        <v>358</v>
      </c>
    </row>
    <row r="46" spans="1:14" ht="72" customHeight="1">
      <c r="A46" s="44" t="s">
        <v>192</v>
      </c>
      <c r="B46" s="44" t="s">
        <v>193</v>
      </c>
      <c r="C46" s="44" t="s">
        <v>77</v>
      </c>
      <c r="D46" s="44" t="s">
        <v>380</v>
      </c>
      <c r="E46" s="44" t="s">
        <v>381</v>
      </c>
      <c r="F46" s="44" t="s">
        <v>319</v>
      </c>
      <c r="G46" s="47">
        <v>1</v>
      </c>
      <c r="H46" s="47">
        <f>IFERROR(AVERAGEIFS('Tracker ToC'!$M$8:$M$78,'Tracker ToC'!$C$8:$C$78,$A46,'Tracker ToC'!$E$8:$E$78,$C46),0)</f>
        <v>0.4285714285714286</v>
      </c>
      <c r="I46" s="44" t="str">
        <f t="shared" si="0"/>
        <v>Perlu Perhatian</v>
      </c>
      <c r="J46" s="44" t="str">
        <f>IF(COUNTIFS('Tracker ToC'!$C$8:$C$78,$A46,'Tracker ToC'!$E$8:$E$78,$C46,'Tracker ToC'!$V$8:$V$78,"Mengandung Dummy")&gt;0,"Mengandung Dummy","Terbukti")</f>
        <v>Mengandung Dummy</v>
      </c>
      <c r="K46" s="51">
        <f>COUNTIFS('Tracker ToC'!$C$8:$C$78,$A46,'Tracker ToC'!$E$8:$E$78,$C46)</f>
        <v>1</v>
      </c>
      <c r="L46" s="44" t="s">
        <v>335</v>
      </c>
      <c r="M46" s="44" t="s">
        <v>336</v>
      </c>
      <c r="N46" s="44" t="s">
        <v>358</v>
      </c>
    </row>
    <row r="47" spans="1:14" ht="72" customHeight="1">
      <c r="A47" s="36" t="s">
        <v>192</v>
      </c>
      <c r="B47" s="36" t="s">
        <v>193</v>
      </c>
      <c r="C47" s="36" t="s">
        <v>78</v>
      </c>
      <c r="D47" s="36" t="s">
        <v>198</v>
      </c>
      <c r="E47" s="36" t="s">
        <v>337</v>
      </c>
      <c r="F47" s="36" t="s">
        <v>322</v>
      </c>
      <c r="G47" s="46">
        <v>1</v>
      </c>
      <c r="H47" s="46">
        <f>IFERROR(AVERAGEIFS('Tracker ToC'!$M$8:$M$78,'Tracker ToC'!$C$8:$C$78,$A47,'Tracker ToC'!$E$8:$E$78,$C47),0)</f>
        <v>0.5</v>
      </c>
      <c r="I47" s="36" t="str">
        <f t="shared" si="0"/>
        <v>Perlu Perhatian</v>
      </c>
      <c r="J47" s="36" t="str">
        <f>IF(COUNTIFS('Tracker ToC'!$C$8:$C$78,$A47,'Tracker ToC'!$E$8:$E$78,$C47,'Tracker ToC'!$V$8:$V$78,"Mengandung Dummy")&gt;0,"Mengandung Dummy","Terbukti")</f>
        <v>Mengandung Dummy</v>
      </c>
      <c r="K47" s="50">
        <f>COUNTIFS('Tracker ToC'!$C$8:$C$78,$A47,'Tracker ToC'!$E$8:$E$78,$C47)</f>
        <v>1</v>
      </c>
      <c r="L47" s="36" t="s">
        <v>335</v>
      </c>
      <c r="M47" s="36" t="s">
        <v>336</v>
      </c>
      <c r="N47" s="36" t="s">
        <v>338</v>
      </c>
    </row>
  </sheetData>
  <mergeCells count="4">
    <mergeCell ref="A1:N1"/>
    <mergeCell ref="A2:N3"/>
    <mergeCell ref="A5:C5"/>
    <mergeCell ref="E5:G5"/>
  </mergeCells>
  <conditionalFormatting sqref="C7:C9">
    <cfRule type="expression" dxfId="7" priority="6">
      <formula>$C7="Tercapai"</formula>
    </cfRule>
    <cfRule type="expression" dxfId="6" priority="7">
      <formula>$C7="In Progress"</formula>
    </cfRule>
    <cfRule type="expression" dxfId="5" priority="8">
      <formula>$C7="Perlu Perhatian"</formula>
    </cfRule>
  </conditionalFormatting>
  <conditionalFormatting sqref="H12:H47">
    <cfRule type="expression" dxfId="4" priority="5">
      <formula>$J12="Mengandung Dummy"</formula>
    </cfRule>
  </conditionalFormatting>
  <conditionalFormatting sqref="I12:I47">
    <cfRule type="expression" dxfId="3" priority="1">
      <formula>$I12="Tercapai"</formula>
    </cfRule>
    <cfRule type="expression" dxfId="2" priority="2">
      <formula>$I12="In Progress"</formula>
    </cfRule>
    <cfRule type="expression" dxfId="1" priority="3">
      <formula>$I12="Perlu Perhatian"</formula>
    </cfRule>
  </conditionalFormatting>
  <conditionalFormatting sqref="J12:J47">
    <cfRule type="expression" dxfId="0" priority="4">
      <formula>$J12="Mengandung Dummy"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Panduan</vt:lpstr>
      <vt:lpstr>Dashboard</vt:lpstr>
      <vt:lpstr>Tracker ToC</vt:lpstr>
      <vt:lpstr>Rantai ToC</vt:lpstr>
      <vt:lpstr>Data Sumber</vt:lpstr>
      <vt:lpstr>Blueprint Program</vt:lpstr>
      <vt:lpstr>Scorecard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Ghiffary Kusuma</cp:lastModifiedBy>
  <dcterms:created xsi:type="dcterms:W3CDTF">2026-08-04T03:01:01Z</dcterms:created>
  <dcterms:modified xsi:type="dcterms:W3CDTF">2026-08-04T03:01:01Z</dcterms:modified>
</cp:coreProperties>
</file>