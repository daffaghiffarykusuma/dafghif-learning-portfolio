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cuments\Project Mas Dias\MILES\"/>
    </mc:Choice>
  </mc:AlternateContent>
  <xr:revisionPtr revIDLastSave="0" documentId="11_5ACA724BE42024247919ADB73FC01EC2A5995FD5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Start Here" sheetId="1" r:id="rId1"/>
    <sheet name="Example Bank" sheetId="2" r:id="rId2"/>
    <sheet name="MILES Overview" sheetId="3" r:id="rId3"/>
    <sheet name="Money" sheetId="4" r:id="rId4"/>
    <sheet name="Intellectual" sheetId="5" r:id="rId5"/>
    <sheet name="Location Network Luck" sheetId="6" r:id="rId6"/>
    <sheet name="Expertise" sheetId="7" r:id="rId7"/>
    <sheet name="Status" sheetId="8" r:id="rId8"/>
    <sheet name="Focus Plan" sheetId="9" r:id="rId9"/>
    <sheet name="Mentor Notes" sheetId="10" r:id="rId10"/>
  </sheets>
  <definedNames>
    <definedName name="_xlnm._FilterDatabase" localSheetId="1" hidden="1">'Example Bank'!$A$4:$F$54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9" l="1"/>
  <c r="F10" i="9"/>
  <c r="F9" i="9"/>
  <c r="I9" i="9" s="1"/>
  <c r="I8" i="9"/>
  <c r="F8" i="9"/>
  <c r="I7" i="9"/>
  <c r="F7" i="9"/>
  <c r="I6" i="9"/>
  <c r="F6" i="9"/>
  <c r="B3" i="9"/>
  <c r="F15" i="8"/>
  <c r="F14" i="8"/>
  <c r="F13" i="8"/>
  <c r="F12" i="8"/>
  <c r="F11" i="8"/>
  <c r="F10" i="8"/>
  <c r="F9" i="8"/>
  <c r="F8" i="8"/>
  <c r="B4" i="8"/>
  <c r="B3" i="8"/>
  <c r="F15" i="7"/>
  <c r="F14" i="7"/>
  <c r="F13" i="7"/>
  <c r="F12" i="7"/>
  <c r="F11" i="7"/>
  <c r="F10" i="7"/>
  <c r="F9" i="7"/>
  <c r="F8" i="7"/>
  <c r="B4" i="7"/>
  <c r="B3" i="7"/>
  <c r="F15" i="6"/>
  <c r="F14" i="6"/>
  <c r="F13" i="6"/>
  <c r="F12" i="6"/>
  <c r="F11" i="6"/>
  <c r="F10" i="6"/>
  <c r="F9" i="6"/>
  <c r="F8" i="6"/>
  <c r="B4" i="6"/>
  <c r="B3" i="6"/>
  <c r="F15" i="5"/>
  <c r="F14" i="5"/>
  <c r="F13" i="5"/>
  <c r="F12" i="5"/>
  <c r="F11" i="5"/>
  <c r="F10" i="5"/>
  <c r="F9" i="5"/>
  <c r="F8" i="5"/>
  <c r="B4" i="5"/>
  <c r="B3" i="5"/>
  <c r="F15" i="4"/>
  <c r="F14" i="4"/>
  <c r="F13" i="4"/>
  <c r="F12" i="4"/>
  <c r="F11" i="4"/>
  <c r="F10" i="4"/>
  <c r="F9" i="4"/>
  <c r="F8" i="4"/>
  <c r="B4" i="4"/>
  <c r="B3" i="4"/>
  <c r="C9" i="3"/>
  <c r="C8" i="3"/>
  <c r="C7" i="3"/>
  <c r="C6" i="3"/>
  <c r="C5" i="3"/>
</calcChain>
</file>

<file path=xl/sharedStrings.xml><?xml version="1.0" encoding="utf-8"?>
<sst xmlns="http://schemas.openxmlformats.org/spreadsheetml/2006/main" count="484" uniqueCount="307">
  <si>
    <t>MILES Unfair Advantage Mentoring Workbook</t>
  </si>
  <si>
    <t>Hybrid format: one quick overview sheet for the mentor and separate asset-level worksheets for each MILES area.</t>
  </si>
  <si>
    <t>How to use this workbook</t>
  </si>
  <si>
    <t>1</t>
  </si>
  <si>
    <t>Write one SMART goal for this mentoring cycle.</t>
  </si>
  <si>
    <t>Keep it specific so the student and mentor can measure progress.</t>
  </si>
  <si>
    <t>2</t>
  </si>
  <si>
    <t>Use the Example Bank only for ideas.</t>
  </si>
  <si>
    <t>Students should rewrite examples in their own words.</t>
  </si>
  <si>
    <t>3</t>
  </si>
  <si>
    <t>Fill the five MILES sheets, one asset per row.</t>
  </si>
  <si>
    <t>Add Current Stage, Target Stage, Priority, and Impact Weight.</t>
  </si>
  <si>
    <t>4</t>
  </si>
  <si>
    <t>Complete the MILES Overview.</t>
  </si>
  <si>
    <t>This gives the mentor a fast category-level summary.</t>
  </si>
  <si>
    <t>5</t>
  </si>
  <si>
    <t>Use the score columns to choose the top 1–3 assets in Focus Plan.</t>
  </si>
  <si>
    <t>Higher scores usually mean the asset deserves attention sooner.</t>
  </si>
  <si>
    <t>Simple stage scale (Current Stage and Target Stage)</t>
  </si>
  <si>
    <t>Not active yet or very hard to use</t>
  </si>
  <si>
    <t>Small or inconsistent advantage</t>
  </si>
  <si>
    <t>Usable with support</t>
  </si>
  <si>
    <t>Strong and reliable</t>
  </si>
  <si>
    <t>Signature advantage ready now</t>
  </si>
  <si>
    <t>Gap Score = Target Stage - Current Stage. Use Priority and Impact Weight to decide what to improve first.</t>
  </si>
  <si>
    <t>Session details</t>
  </si>
  <si>
    <t>Student name</t>
  </si>
  <si>
    <t>Mentor name</t>
  </si>
  <si>
    <t>Date</t>
  </si>
  <si>
    <t>SMART goal for this cycle</t>
  </si>
  <si>
    <t>Write one goal only. A clear goal makes it easier to see which assets matter most.</t>
  </si>
  <si>
    <t>Goal</t>
  </si>
  <si>
    <t>Today’s outcome</t>
  </si>
  <si>
    <t>Top asset to activate</t>
  </si>
  <si>
    <t>First next step</t>
  </si>
  <si>
    <t>Mentor support</t>
  </si>
  <si>
    <t>Example Bank</t>
  </si>
  <si>
    <t>Each MILES category below has 10 subcategories with one example each. Use the examples for ideas, then rewrite them in the student’s own words.</t>
  </si>
  <si>
    <t>Category</t>
  </si>
  <si>
    <t>Subcategory</t>
  </si>
  <si>
    <t>Example</t>
  </si>
  <si>
    <t>Why it could help</t>
  </si>
  <si>
    <t>Possible student translation</t>
  </si>
  <si>
    <t>Source</t>
  </si>
  <si>
    <t>Money</t>
  </si>
  <si>
    <t>Savings / Cash Buffer</t>
  </si>
  <si>
    <t>Have savings above 100 million rupiah to support future operational needs, such as paying for required certifications.</t>
  </si>
  <si>
    <t>Provides a financial buffer for learning and growth opportunities.</t>
  </si>
  <si>
    <t>I can fund courses, exams, tools, or travel without waiting for outside support.</t>
  </si>
  <si>
    <t>Original sheet</t>
  </si>
  <si>
    <t>Devices &amp; Tools</t>
  </si>
  <si>
    <t>Own high-end devices (laptop, tablet, phone) that support learning and work with reliable output.</t>
  </si>
  <si>
    <t>Better tools save time and reduce friction.</t>
  </si>
  <si>
    <t>I already have the equipment I need to study, create, and communicate well.</t>
  </si>
  <si>
    <t>Transportation / Mobility</t>
  </si>
  <si>
    <t>Have personal vehicles that support wider ground coverage and more convenient travel.</t>
  </si>
  <si>
    <t>Mobility can increase access to opportunities.</t>
  </si>
  <si>
    <t>I can attend events, internships, client meetings, or classes more easily.</t>
  </si>
  <si>
    <t>Support Team Access</t>
  </si>
  <si>
    <t>Have access to at least five high-performing support team members, such as design, copywriting, learning design, and operations.</t>
  </si>
  <si>
    <t>A strong support system can multiply output.</t>
  </si>
  <si>
    <t>I do not always have to build alone; I can coordinate help.</t>
  </si>
  <si>
    <t>Study / Work Space</t>
  </si>
  <si>
    <t>Have a quiet study or work space at home.</t>
  </si>
  <si>
    <t>A stable environment makes it easier to focus and produce consistent work.</t>
  </si>
  <si>
    <t>I have a place where I can study, think, and work without too much disruption.</t>
  </si>
  <si>
    <t>Internet / Connectivity</t>
  </si>
  <si>
    <t>Have a stable internet connection for learning, meetings, and online work.</t>
  </si>
  <si>
    <t>Reliable access keeps learning and collaboration from stopping.</t>
  </si>
  <si>
    <t>I can join classes, send work, and stay connected consistently.</t>
  </si>
  <si>
    <t>Added example</t>
  </si>
  <si>
    <t>Education Funding</t>
  </si>
  <si>
    <t>Have scholarship funding or family support for professional development.</t>
  </si>
  <si>
    <t>Reduced financial pressure increases focus and speed.</t>
  </si>
  <si>
    <t>I can invest in growth opportunities earlier than some peers.</t>
  </si>
  <si>
    <t>Safety Net</t>
  </si>
  <si>
    <t>Have family or emergency support available if something goes wrong.</t>
  </si>
  <si>
    <t>A safety net makes it easier to take smart risks.</t>
  </si>
  <si>
    <t>I can try new opportunities because one setback will not stop everything.</t>
  </si>
  <si>
    <t>Paid Resources</t>
  </si>
  <si>
    <t>Can afford books, software, subscriptions, or paid communities that improve learning and work.</t>
  </si>
  <si>
    <t>Small paid resources can remove major learning barriers.</t>
  </si>
  <si>
    <t>I can access tools and information that help me move faster.</t>
  </si>
  <si>
    <t>Time Flexibility</t>
  </si>
  <si>
    <t>Do not need to spend all available time on short-term survival needs.</t>
  </si>
  <si>
    <t>Financial breathing room can create more time for long-term growth.</t>
  </si>
  <si>
    <t>I have some time to build skills and opportunities, not only handle urgent needs.</t>
  </si>
  <si>
    <t>Intellectual</t>
  </si>
  <si>
    <t>Formal Education</t>
  </si>
  <si>
    <t>Hold a Bachelor of Psychology degree from a reputable university in Indonesia.</t>
  </si>
  <si>
    <t>Formal education can provide strong foundations and credibility.</t>
  </si>
  <si>
    <t>I already have academic knowledge that supports people-focused work.</t>
  </si>
  <si>
    <t>International Exposure</t>
  </si>
  <si>
    <t>Have been exposed to global scholarship education opportunities in the US and Thailand.</t>
  </si>
  <si>
    <t>International exposure can expand perspective and confidence.</t>
  </si>
  <si>
    <t>I can understand different cultures and learning environments.</t>
  </si>
  <si>
    <t>Certifications</t>
  </si>
  <si>
    <t>Hold supporting certifications such as BNSP, Pearson, and ICF-accredited programs.</t>
  </si>
  <si>
    <t>Credentials make knowledge easier to trust and communicate.</t>
  </si>
  <si>
    <t>I can show proof of structured learning.</t>
  </si>
  <si>
    <t>Competition Achievement</t>
  </si>
  <si>
    <t>Have won more than 25 national and international competitions.</t>
  </si>
  <si>
    <t>Repeated achievement often reflects learning discipline and strategic thinking.</t>
  </si>
  <si>
    <t>I know how to prepare, perform, and improve under pressure.</t>
  </si>
  <si>
    <t>Self-Directed Learning</t>
  </si>
  <si>
    <t>Read widely, take structured notes, and learn quickly from books, videos, or mentors.</t>
  </si>
  <si>
    <t>Learning speed can become a compounding advantage.</t>
  </si>
  <si>
    <t>I can teach myself new material efficiently.</t>
  </si>
  <si>
    <t>Research &amp; Analysis</t>
  </si>
  <si>
    <t>Can find information, compare sources, and turn them into useful insights.</t>
  </si>
  <si>
    <t>Research skill helps with better decisions and stronger outputs.</t>
  </si>
  <si>
    <t>I can study a topic deeply instead of relying only on guesses.</t>
  </si>
  <si>
    <t>Critical Thinking</t>
  </si>
  <si>
    <t>Can question assumptions and see strengths, risks, and trade-offs before acting.</t>
  </si>
  <si>
    <t>Clear thinking improves judgment and planning.</t>
  </si>
  <si>
    <t>I can think through problems carefully before I decide.</t>
  </si>
  <si>
    <t>Reflection Habit</t>
  </si>
  <si>
    <t>Regularly reflect on experiences and turn lessons into better future action.</t>
  </si>
  <si>
    <t>Reflection helps experience become real learning.</t>
  </si>
  <si>
    <t>I learn from what I do, not only from what I read.</t>
  </si>
  <si>
    <t>Cross-Disciplinary Perspective</t>
  </si>
  <si>
    <t>Can connect ideas from psychology, education, business, and people development.</t>
  </si>
  <si>
    <t>Seeing links across fields can create better solutions.</t>
  </si>
  <si>
    <t>I can combine knowledge from different areas to solve problems.</t>
  </si>
  <si>
    <t>Curiosity Depth</t>
  </si>
  <si>
    <t>Enjoy exploring questions until the root cause or deeper pattern becomes clear.</t>
  </si>
  <si>
    <t>Curiosity often leads to deeper understanding and better innovation.</t>
  </si>
  <si>
    <t>I naturally keep learning until I really understand something.</t>
  </si>
  <si>
    <t>Location / Network / Luck</t>
  </si>
  <si>
    <t>Geographic Location</t>
  </si>
  <si>
    <t>Was born and raised in Jakarta, where many headquarters, funders, and decision makers are concentrated.</t>
  </si>
  <si>
    <t>Physical location can improve access to opportunities.</t>
  </si>
  <si>
    <t>I am already close to many important events, networks, and organizations.</t>
  </si>
  <si>
    <t>Broad Network Reach</t>
  </si>
  <si>
    <t>Have connections across leading communities, professional networks, and personal relationships online and offline.</t>
  </si>
  <si>
    <t>Strong networks often lead to information, referrals, and partnerships.</t>
  </si>
  <si>
    <t>I can reach people and opportunities through real relationships.</t>
  </si>
  <si>
    <t>Mentor / Alumni Access</t>
  </si>
  <si>
    <t>Have mentors or alumni contacts who can open introductions.</t>
  </si>
  <si>
    <t>Warm introductions can shorten trust-building time.</t>
  </si>
  <si>
    <t>I do not always need to start from zero when meeting new people.</t>
  </si>
  <si>
    <t>Opportunity Exposure</t>
  </si>
  <si>
    <t>Can join events, competitions, and online communities regularly.</t>
  </si>
  <si>
    <t>Repeated exposure creates more chances for luck to happen.</t>
  </si>
  <si>
    <t>I put myself where opportunities are more likely to appear.</t>
  </si>
  <si>
    <t>Community Membership</t>
  </si>
  <si>
    <t>Belong to communities where people share advice, openings, and collaboration opportunities.</t>
  </si>
  <si>
    <t>Belonging to the right communities increases useful information flow.</t>
  </si>
  <si>
    <t>I hear about opportunities earlier because I am inside active groups.</t>
  </si>
  <si>
    <t>Online Presence</t>
  </si>
  <si>
    <t>Use social media or digital platforms to stay visible and connected with useful people.</t>
  </si>
  <si>
    <t>Online visibility can attract information, collaborators, and invitations.</t>
  </si>
  <si>
    <t>People can find me and remember what I do.</t>
  </si>
  <si>
    <t>Referral Pathways</t>
  </si>
  <si>
    <t>Know people who are willing to recommend or refer you when a good fit appears.</t>
  </si>
  <si>
    <t>Referrals often build trust faster than cold outreach.</t>
  </si>
  <si>
    <t>I may get considered sooner because someone can vouch for me.</t>
  </si>
  <si>
    <t>Institutional Access</t>
  </si>
  <si>
    <t>Have access to campuses, companies, incubators, or organizations that regularly host opportunities.</t>
  </si>
  <si>
    <t>Institutional environments concentrate people, programs, and resources.</t>
  </si>
  <si>
    <t>I am connected to places where opportunities are organized.</t>
  </si>
  <si>
    <t>Timing / Tailwind</t>
  </si>
  <si>
    <t>Are entering a field or topic at a time when demand is rising.</t>
  </si>
  <si>
    <t>Good timing can make the same effort produce bigger results.</t>
  </si>
  <si>
    <t>The kind of work I want to do is becoming more relevant right now.</t>
  </si>
  <si>
    <t>Serendipity Readiness</t>
  </si>
  <si>
    <t>Keep meeting new people and trying new spaces, which increases the chance of lucky breaks.</t>
  </si>
  <si>
    <t>Luck often follows repeated visible effort.</t>
  </si>
  <si>
    <t>Because I show up often, good surprises are more likely to happen.</t>
  </si>
  <si>
    <t>Expertise</t>
  </si>
  <si>
    <t>Public Speaking</t>
  </si>
  <si>
    <t>Have more than 700 hours of public speaking experience across seminars, workshops, training, and webinars, online and offline.</t>
  </si>
  <si>
    <t>Repeated practice builds confidence and performance under pressure.</t>
  </si>
  <si>
    <t>I have strong communication practice, not only theory.</t>
  </si>
  <si>
    <t>English Communication</t>
  </si>
  <si>
    <t>Obtained a CEFR B2 English score, roughly equal to IELTS 6.5 to 7.</t>
  </si>
  <si>
    <t>Language ability expands learning and collaboration opportunities.</t>
  </si>
  <si>
    <t>I can access wider resources and communicate with more people.</t>
  </si>
  <si>
    <t>Domain Breadth</t>
  </si>
  <si>
    <t>Work across the full 360 Human Resources field, from recruitment to learning and development.</t>
  </si>
  <si>
    <t>Range and depth make it easier to connect ideas across domains.</t>
  </si>
  <si>
    <t>I can solve people-development problems from multiple angles.</t>
  </si>
  <si>
    <t>Training Design</t>
  </si>
  <si>
    <t>Can design training sessions, learning materials, or facilitation plans.</t>
  </si>
  <si>
    <t>Making useful outputs increases professional value.</t>
  </si>
  <si>
    <t>I can turn ideas into real learning experiences.</t>
  </si>
  <si>
    <t>Project Leadership</t>
  </si>
  <si>
    <t>Have a track record of leading projects from planning to execution.</t>
  </si>
  <si>
    <t>Execution skill is often more valuable than ideas alone.</t>
  </si>
  <si>
    <t>I know how to move work forward, not just imagine it.</t>
  </si>
  <si>
    <t>Coaching / Mentoring</t>
  </si>
  <si>
    <t>Can guide others through structured conversations, feedback, or development plans.</t>
  </si>
  <si>
    <t>Helping others improve is a valuable practical skill.</t>
  </si>
  <si>
    <t>I can support someone’s growth, not just share information.</t>
  </si>
  <si>
    <t>Writing / Content Creation</t>
  </si>
  <si>
    <t>Can write clear reports, teaching materials, captions, or articles for different audiences.</t>
  </si>
  <si>
    <t>Clear writing makes expertise easier to share and scale.</t>
  </si>
  <si>
    <t>I can turn what I know into content that others can use.</t>
  </si>
  <si>
    <t>Interviewing / Assessment</t>
  </si>
  <si>
    <t>Can ask good questions and assess people, needs, or readiness accurately.</t>
  </si>
  <si>
    <t>Strong assessment improves selection, support, and decision quality.</t>
  </si>
  <si>
    <t>I can understand what people need before acting.</t>
  </si>
  <si>
    <t>Digital Tool Use</t>
  </si>
  <si>
    <t>Can use presentation, collaboration, and productivity tools to produce professional work.</t>
  </si>
  <si>
    <t>Tool fluency speeds up execution and communication.</t>
  </si>
  <si>
    <t>I can use common digital tools well enough to work efficiently.</t>
  </si>
  <si>
    <t>Follow-Through</t>
  </si>
  <si>
    <t>Can keep momentum, meet deadlines, and finish what has been started.</t>
  </si>
  <si>
    <t>Reliability builds trust and converts skill into real results.</t>
  </si>
  <si>
    <t>People can depend on me to complete important work.</t>
  </si>
  <si>
    <t>Status</t>
  </si>
  <si>
    <t>Family Reputation</t>
  </si>
  <si>
    <t>Am supported by influential parents whose network can extend professional reach.</t>
  </si>
  <si>
    <t>Borrowed trust can create early access to people and projects.</t>
  </si>
  <si>
    <t>Some doors may open faster because of family reputation or network.</t>
  </si>
  <si>
    <t>Socioeconomic Background</t>
  </si>
  <si>
    <t>Grew up with a relatively strong socioeconomic position that supported education, hobbies, and interests.</t>
  </si>
  <si>
    <t>Early support can create more room to explore and build strengths.</t>
  </si>
  <si>
    <t>I have had more chances to develop than some people do.</t>
  </si>
  <si>
    <t>Visible Roles</t>
  </si>
  <si>
    <t>Hold visible roles such as mentor, speaker, committee lead, or organization officer.</t>
  </si>
  <si>
    <t>Recognized roles increase social proof.</t>
  </si>
  <si>
    <t>People may trust me faster because they can see responsibility and leadership.</t>
  </si>
  <si>
    <t>Proof of Impact</t>
  </si>
  <si>
    <t>Have testimonials, awards, or public proof of impact.</t>
  </si>
  <si>
    <t>Visible proof makes credibility easier to communicate.</t>
  </si>
  <si>
    <t>I can show others that my work has helped people before.</t>
  </si>
  <si>
    <t>Organization Affiliation</t>
  </si>
  <si>
    <t>Am associated with respected organizations, campuses, or programs.</t>
  </si>
  <si>
    <t>Trusted institutions can increase perceived credibility.</t>
  </si>
  <si>
    <t>People may take me more seriously because of where I am connected.</t>
  </si>
  <si>
    <t>Academic Prestige</t>
  </si>
  <si>
    <t>Come from schools or programs that are widely recognized for quality.</t>
  </si>
  <si>
    <t>Prestige can affect first impressions and access.</t>
  </si>
  <si>
    <t>My educational background may help others trust my ability sooner.</t>
  </si>
  <si>
    <t>Personal Brand</t>
  </si>
  <si>
    <t>Have a clear and positive public image in the spaces where you work or learn.</t>
  </si>
  <si>
    <t>A strong personal brand helps others remember your value.</t>
  </si>
  <si>
    <t>People can quickly understand what I am known for.</t>
  </si>
  <si>
    <t>Leadership Position</t>
  </si>
  <si>
    <t>Have held leadership positions that show responsibility and influence.</t>
  </si>
  <si>
    <t>Leadership titles can signal readiness for bigger opportunities.</t>
  </si>
  <si>
    <t>Others may see me as someone who can take initiative.</t>
  </si>
  <si>
    <t>Trusted Identity</t>
  </si>
  <si>
    <t>Present yourself in a way that feels professional, reliable, and mature.</t>
  </si>
  <si>
    <t>Professional presence affects whether people trust you quickly.</t>
  </si>
  <si>
    <t>The way I show up helps people feel safe working with me.</t>
  </si>
  <si>
    <t>Recognition Signals</t>
  </si>
  <si>
    <t>Have visible markers such as invitations to speak, featured posts, or repeat recommendations.</t>
  </si>
  <si>
    <t>Recognition signals tell others that your work is already valued.</t>
  </si>
  <si>
    <t>There are signs that other people already see my contribution as useful.</t>
  </si>
  <si>
    <t>MILES Overview</t>
  </si>
  <si>
    <t>This sheet stays category-level on purpose. Use the definition column for a quick reminder, and use the asset sheets plus Focus Plan for detailed scoring.</t>
  </si>
  <si>
    <t>MILES area</t>
  </si>
  <si>
    <t>Definition</t>
  </si>
  <si>
    <t>Assets listed</t>
  </si>
  <si>
    <t>Strongest asset in this area</t>
  </si>
  <si>
    <t>Biggest gap or missing support</t>
  </si>
  <si>
    <t>Overall readiness now (1–5)</t>
  </si>
  <si>
    <t>One asset to focus on first</t>
  </si>
  <si>
    <t>Mentor quick note</t>
  </si>
  <si>
    <t>Financial resources or material support that make opportunities easier to access.</t>
  </si>
  <si>
    <t>Knowledge, thinking tools, learning ability, or educational advantages you can use.</t>
  </si>
  <si>
    <t>Where you are, who you know, and chance events that can open or block doors.</t>
  </si>
  <si>
    <t>Skills, practice, credentials, or experience that help you do something well.</t>
  </si>
  <si>
    <t>Identity, reputation, roles, or signals that affect how other people respond to you.</t>
  </si>
  <si>
    <t>Tip: keep category notes short. Put the detail in the asset sheets.</t>
  </si>
  <si>
    <t>Money — Asset-Level Worksheet</t>
  </si>
  <si>
    <t>What financial or practical resources help you move faster?</t>
  </si>
  <si>
    <t>SMART goal</t>
  </si>
  <si>
    <t>One asset per row. Use the score columns to see what needs the most attention.</t>
  </si>
  <si>
    <t>Tip: Higher Gap Score + higher Priority + higher Impact Weight = a stronger candidate for action.</t>
  </si>
  <si>
    <t>No.</t>
  </si>
  <si>
    <t>My advantage / asset</t>
  </si>
  <si>
    <t>Why this matters / evidence</t>
  </si>
  <si>
    <t>Current Stage (1–5)</t>
  </si>
  <si>
    <t>Target Stage (1–5)</t>
  </si>
  <si>
    <t>Gap Score (1–5)</t>
  </si>
  <si>
    <t>Priority (1–5)</t>
  </si>
  <si>
    <t>Impact Weight (1–5)</t>
  </si>
  <si>
    <t>Best next step</t>
  </si>
  <si>
    <t>Support person / resource</t>
  </si>
  <si>
    <t>Target date</t>
  </si>
  <si>
    <t>Mentor note</t>
  </si>
  <si>
    <t>Intellectual — Asset-Level Worksheet</t>
  </si>
  <si>
    <t>What knowledge, education, or ways of thinking give you an edge?</t>
  </si>
  <si>
    <t>Location / Network / Luck — Asset-Level Worksheet</t>
  </si>
  <si>
    <t>What places, communities, relationships, timing, or lucky breaks open doors for you?</t>
  </si>
  <si>
    <t>Expertise — Asset-Level Worksheet</t>
  </si>
  <si>
    <t>What skills, repeated experience, or special know-how make you effective?</t>
  </si>
  <si>
    <t>Status — Asset-Level Worksheet</t>
  </si>
  <si>
    <t>What identity, role, reputation, or credibility makes people trust you faster?</t>
  </si>
  <si>
    <t>Focus Plan</t>
  </si>
  <si>
    <t>Choose the top 1–3 assets to activate now. Higher Focus Score = Gap Score × Priority × Impact Weight.</t>
  </si>
  <si>
    <t>Rank</t>
  </si>
  <si>
    <t>Asset to activate now</t>
  </si>
  <si>
    <t>Focus Score</t>
  </si>
  <si>
    <t>First step + support</t>
  </si>
  <si>
    <t>Progress</t>
  </si>
  <si>
    <t>Mentor Notes</t>
  </si>
  <si>
    <t>One row per session. Keep notes short enough to review before the next meeting.</t>
  </si>
  <si>
    <t>Session date</t>
  </si>
  <si>
    <t>Goal for this cycle</t>
  </si>
  <si>
    <t>Strengths noticed</t>
  </si>
  <si>
    <t>Main blockers</t>
  </si>
  <si>
    <t>Agreed next step</t>
  </si>
  <si>
    <t>Next check-in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</si>
</sst>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6" x14ac:knownFonts="1">
    <font>
      <sz val="11"/>
      <color theme="1"/>
      <name val="Calibri"/>
      <family val="2"/>
      <scheme val="minor"/>
    </font>
    <font>
      <b/>
      <sz val="16"/>
      <color rgb="FF1F1F1F"/>
      <name val="Calibri"/>
    </font>
    <font>
      <sz val="11"/>
      <color rgb="FF1F1F1F"/>
      <name val="Calibri"/>
    </font>
    <font>
      <b/>
      <sz val="12"/>
      <color rgb="FF1F1F1F"/>
      <name val="Calibri"/>
    </font>
    <font>
      <b/>
      <sz val="11"/>
      <color rgb="FF1F1F1F"/>
      <name val="Calibri"/>
    </font>
    <font>
      <sz val="10"/>
      <color rgb="FF1F1F1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D6FF"/>
      </patternFill>
    </fill>
    <fill>
      <patternFill patternType="solid">
        <fgColor rgb="FFBBD0FF"/>
      </patternFill>
    </fill>
    <fill>
      <patternFill patternType="solid">
        <fgColor rgb="FFE7C6FF"/>
      </patternFill>
    </fill>
    <fill>
      <patternFill patternType="solid">
        <fgColor rgb="FFB8C0FF"/>
      </patternFill>
    </fill>
    <fill>
      <patternFill patternType="solid">
        <fgColor rgb="FFFFFFFF"/>
      </patternFill>
    </fill>
    <fill>
      <patternFill patternType="solid">
        <fgColor rgb="FFC8B6FF"/>
      </patternFill>
    </fill>
    <fill>
      <patternFill patternType="solid">
        <fgColor rgb="FFF9F4FF"/>
      </patternFill>
    </fill>
  </fills>
  <borders count="14">
    <border>
      <left/>
      <right/>
      <top/>
      <bottom/>
      <diagonal/>
    </border>
    <border>
      <left/>
      <right/>
      <top/>
      <bottom style="thin">
        <color rgb="FFC9C2D8"/>
      </bottom>
      <diagonal/>
    </border>
    <border>
      <left style="thin">
        <color rgb="FFC9C2D8"/>
      </left>
      <right style="thin">
        <color rgb="FFC9C2D8"/>
      </right>
      <top style="thin">
        <color rgb="FFC9C2D8"/>
      </top>
      <bottom style="thin">
        <color rgb="FFC9C2D8"/>
      </bottom>
      <diagonal/>
    </border>
    <border>
      <left/>
      <right/>
      <top/>
      <bottom style="thin">
        <color rgb="FFC9C2D8"/>
      </bottom>
      <diagonal/>
    </border>
    <border>
      <left/>
      <right/>
      <top style="thin">
        <color rgb="FFC9C2D8"/>
      </top>
      <bottom/>
      <diagonal/>
    </border>
    <border>
      <left/>
      <right style="thin">
        <color rgb="FFC9C2D8"/>
      </right>
      <top style="thin">
        <color rgb="FFC9C2D8"/>
      </top>
      <bottom/>
      <diagonal/>
    </border>
    <border>
      <left/>
      <right/>
      <top style="thin">
        <color rgb="FFC9C2D8"/>
      </top>
      <bottom style="thin">
        <color rgb="FFC9C2D8"/>
      </bottom>
      <diagonal/>
    </border>
    <border>
      <left/>
      <right style="thin">
        <color rgb="FFC9C2D8"/>
      </right>
      <top style="thin">
        <color rgb="FFC9C2D8"/>
      </top>
      <bottom style="thin">
        <color rgb="FFC9C2D8"/>
      </bottom>
      <diagonal/>
    </border>
    <border>
      <left style="thin">
        <color rgb="FFC9C2D8"/>
      </left>
      <right/>
      <top/>
      <bottom/>
      <diagonal/>
    </border>
    <border>
      <left/>
      <right style="thin">
        <color rgb="FFC9C2D8"/>
      </right>
      <top/>
      <bottom/>
      <diagonal/>
    </border>
    <border>
      <left style="thin">
        <color rgb="FFC9C2D8"/>
      </left>
      <right/>
      <top/>
      <bottom style="thin">
        <color rgb="FFC9C2D8"/>
      </bottom>
      <diagonal/>
    </border>
    <border>
      <left/>
      <right style="thin">
        <color rgb="FFC9C2D8"/>
      </right>
      <top/>
      <bottom style="thin">
        <color rgb="FFC9C2D8"/>
      </bottom>
      <diagonal/>
    </border>
    <border>
      <left/>
      <right/>
      <top/>
      <bottom style="thin">
        <color rgb="FFC9C2D8"/>
      </bottom>
      <diagonal/>
    </border>
    <border>
      <left style="thin">
        <color rgb="FFC9C2D8"/>
      </left>
      <right style="thin">
        <color rgb="FFC9C2D8"/>
      </right>
      <top style="medium">
        <color rgb="FFA59BB8"/>
      </top>
      <bottom style="thin">
        <color rgb="FFC9C2D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5" borderId="1" xfId="0" applyFont="1" applyFill="1" applyBorder="1" applyAlignment="1">
      <alignment horizontal="left" vertical="top" wrapText="1"/>
    </xf>
    <xf numFmtId="0" fontId="4" fillId="5" borderId="0" xfId="0" applyFont="1" applyFill="1" applyAlignment="1">
      <alignment horizontal="left" vertical="center" wrapText="1"/>
    </xf>
    <xf numFmtId="0" fontId="2" fillId="6" borderId="2" xfId="0" applyFont="1" applyFill="1" applyBorder="1" applyAlignment="1">
      <alignment horizontal="left" vertical="top" wrapText="1"/>
    </xf>
    <xf numFmtId="0" fontId="4" fillId="5" borderId="0" xfId="0" applyFont="1" applyFill="1" applyAlignment="1">
      <alignment horizontal="center" vertical="center" wrapText="1"/>
    </xf>
    <xf numFmtId="0" fontId="0" fillId="5" borderId="2" xfId="0" applyFill="1" applyBorder="1"/>
    <xf numFmtId="0" fontId="4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164" fontId="2" fillId="8" borderId="2" xfId="0" applyNumberFormat="1" applyFont="1" applyFill="1" applyBorder="1" applyAlignment="1">
      <alignment horizontal="left" vertical="top" wrapText="1"/>
    </xf>
    <xf numFmtId="164" fontId="2" fillId="6" borderId="2" xfId="0" applyNumberFormat="1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15" fontId="2" fillId="8" borderId="2" xfId="0" applyNumberFormat="1" applyFont="1" applyFill="1" applyBorder="1" applyAlignment="1">
      <alignment horizontal="center" vertical="center"/>
    </xf>
    <xf numFmtId="15" fontId="2" fillId="6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left" vertical="top" wrapText="1"/>
    </xf>
    <xf numFmtId="0" fontId="2" fillId="8" borderId="13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4" borderId="13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4" fillId="7" borderId="13" xfId="0" applyFont="1" applyFill="1" applyBorder="1" applyAlignment="1">
      <alignment horizontal="left" vertical="top" wrapText="1"/>
    </xf>
    <xf numFmtId="0" fontId="4" fillId="7" borderId="2" xfId="0" applyFont="1" applyFill="1" applyBorder="1" applyAlignment="1">
      <alignment horizontal="left" vertical="top" wrapText="1"/>
    </xf>
    <xf numFmtId="0" fontId="4" fillId="5" borderId="13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4" fillId="3" borderId="13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0" fillId="0" borderId="3" xfId="0" applyBorder="1"/>
    <xf numFmtId="0" fontId="2" fillId="6" borderId="2" xfId="0" applyFont="1" applyFill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3" fillId="4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6FF"/>
  </sheetPr>
  <dimension ref="A1:H31"/>
  <sheetViews>
    <sheetView showGridLines="0" workbookViewId="0"/>
  </sheetViews>
  <sheetFormatPr defaultRowHeight="14.5" x14ac:dyDescent="0.35"/>
  <cols>
    <col min="1" max="8" width="18" customWidth="1"/>
  </cols>
  <sheetData>
    <row r="1" spans="1:8" ht="24" customHeight="1" x14ac:dyDescent="0.35">
      <c r="A1" s="35" t="s">
        <v>0</v>
      </c>
      <c r="B1" s="34"/>
      <c r="C1" s="34"/>
      <c r="D1" s="34"/>
      <c r="E1" s="34"/>
      <c r="F1" s="34"/>
      <c r="G1" s="34"/>
      <c r="H1" s="34"/>
    </row>
    <row r="2" spans="1:8" ht="24" customHeight="1" x14ac:dyDescent="0.35">
      <c r="A2" s="42" t="s">
        <v>1</v>
      </c>
      <c r="B2" s="34"/>
      <c r="C2" s="34"/>
      <c r="D2" s="34"/>
      <c r="E2" s="34"/>
      <c r="F2" s="34"/>
      <c r="G2" s="34"/>
      <c r="H2" s="34"/>
    </row>
    <row r="4" spans="1:8" ht="24" customHeight="1" x14ac:dyDescent="0.35">
      <c r="A4" s="33" t="s">
        <v>2</v>
      </c>
      <c r="B4" s="34"/>
      <c r="C4" s="34"/>
      <c r="D4" s="34"/>
      <c r="E4" s="34"/>
      <c r="F4" s="34"/>
      <c r="G4" s="34"/>
      <c r="H4" s="34"/>
    </row>
    <row r="5" spans="1:8" ht="34" customHeight="1" x14ac:dyDescent="0.35">
      <c r="A5" s="1" t="s">
        <v>3</v>
      </c>
      <c r="B5" s="28" t="s">
        <v>4</v>
      </c>
      <c r="C5" s="29"/>
      <c r="D5" s="29"/>
      <c r="E5" s="28" t="s">
        <v>5</v>
      </c>
      <c r="F5" s="29"/>
      <c r="G5" s="29"/>
      <c r="H5" s="29"/>
    </row>
    <row r="6" spans="1:8" ht="34" customHeight="1" x14ac:dyDescent="0.35">
      <c r="A6" s="1" t="s">
        <v>6</v>
      </c>
      <c r="B6" s="28" t="s">
        <v>7</v>
      </c>
      <c r="C6" s="29"/>
      <c r="D6" s="29"/>
      <c r="E6" s="28" t="s">
        <v>8</v>
      </c>
      <c r="F6" s="29"/>
      <c r="G6" s="29"/>
      <c r="H6" s="29"/>
    </row>
    <row r="7" spans="1:8" ht="34" customHeight="1" x14ac:dyDescent="0.35">
      <c r="A7" s="1" t="s">
        <v>9</v>
      </c>
      <c r="B7" s="28" t="s">
        <v>10</v>
      </c>
      <c r="C7" s="29"/>
      <c r="D7" s="29"/>
      <c r="E7" s="28" t="s">
        <v>11</v>
      </c>
      <c r="F7" s="29"/>
      <c r="G7" s="29"/>
      <c r="H7" s="29"/>
    </row>
    <row r="8" spans="1:8" ht="34" customHeight="1" x14ac:dyDescent="0.35">
      <c r="A8" s="1" t="s">
        <v>12</v>
      </c>
      <c r="B8" s="28" t="s">
        <v>13</v>
      </c>
      <c r="C8" s="29"/>
      <c r="D8" s="29"/>
      <c r="E8" s="28" t="s">
        <v>14</v>
      </c>
      <c r="F8" s="29"/>
      <c r="G8" s="29"/>
      <c r="H8" s="29"/>
    </row>
    <row r="9" spans="1:8" ht="34" customHeight="1" x14ac:dyDescent="0.35">
      <c r="A9" s="1" t="s">
        <v>15</v>
      </c>
      <c r="B9" s="28" t="s">
        <v>16</v>
      </c>
      <c r="C9" s="29"/>
      <c r="D9" s="29"/>
      <c r="E9" s="28" t="s">
        <v>17</v>
      </c>
      <c r="F9" s="29"/>
      <c r="G9" s="29"/>
      <c r="H9" s="29"/>
    </row>
    <row r="11" spans="1:8" ht="24" customHeight="1" x14ac:dyDescent="0.35">
      <c r="A11" s="33" t="s">
        <v>18</v>
      </c>
      <c r="B11" s="34"/>
      <c r="C11" s="34"/>
      <c r="D11" s="34"/>
      <c r="E11" s="34"/>
      <c r="F11" s="34"/>
      <c r="G11" s="34"/>
      <c r="H11" s="34"/>
    </row>
    <row r="12" spans="1:8" ht="22" customHeight="1" x14ac:dyDescent="0.35">
      <c r="A12" s="1" t="s">
        <v>3</v>
      </c>
      <c r="B12" s="28" t="s">
        <v>19</v>
      </c>
      <c r="C12" s="29"/>
      <c r="D12" s="29"/>
      <c r="E12" s="29"/>
      <c r="F12" s="29"/>
      <c r="G12" s="29"/>
      <c r="H12" s="29"/>
    </row>
    <row r="13" spans="1:8" ht="22" customHeight="1" x14ac:dyDescent="0.35">
      <c r="A13" s="1" t="s">
        <v>6</v>
      </c>
      <c r="B13" s="28" t="s">
        <v>20</v>
      </c>
      <c r="C13" s="29"/>
      <c r="D13" s="29"/>
      <c r="E13" s="29"/>
      <c r="F13" s="29"/>
      <c r="G13" s="29"/>
      <c r="H13" s="29"/>
    </row>
    <row r="14" spans="1:8" ht="22" customHeight="1" x14ac:dyDescent="0.35">
      <c r="A14" s="1" t="s">
        <v>9</v>
      </c>
      <c r="B14" s="28" t="s">
        <v>21</v>
      </c>
      <c r="C14" s="29"/>
      <c r="D14" s="29"/>
      <c r="E14" s="29"/>
      <c r="F14" s="29"/>
      <c r="G14" s="29"/>
      <c r="H14" s="29"/>
    </row>
    <row r="15" spans="1:8" ht="22" customHeight="1" x14ac:dyDescent="0.35">
      <c r="A15" s="1" t="s">
        <v>12</v>
      </c>
      <c r="B15" s="28" t="s">
        <v>22</v>
      </c>
      <c r="C15" s="29"/>
      <c r="D15" s="29"/>
      <c r="E15" s="29"/>
      <c r="F15" s="29"/>
      <c r="G15" s="29"/>
      <c r="H15" s="29"/>
    </row>
    <row r="16" spans="1:8" ht="22" customHeight="1" x14ac:dyDescent="0.35">
      <c r="A16" s="1" t="s">
        <v>15</v>
      </c>
      <c r="B16" s="28" t="s">
        <v>23</v>
      </c>
      <c r="C16" s="29"/>
      <c r="D16" s="29"/>
      <c r="E16" s="29"/>
      <c r="F16" s="29"/>
      <c r="G16" s="29"/>
      <c r="H16" s="29"/>
    </row>
    <row r="17" spans="1:8" ht="30" customHeight="1" x14ac:dyDescent="0.35">
      <c r="A17" s="44" t="s">
        <v>24</v>
      </c>
      <c r="B17" s="34"/>
      <c r="C17" s="34"/>
      <c r="D17" s="34"/>
      <c r="E17" s="34"/>
      <c r="F17" s="34"/>
      <c r="G17" s="34"/>
      <c r="H17" s="34"/>
    </row>
    <row r="18" spans="1:8" ht="24" customHeight="1" x14ac:dyDescent="0.35">
      <c r="A18" s="33" t="s">
        <v>25</v>
      </c>
      <c r="B18" s="34"/>
      <c r="C18" s="34"/>
      <c r="D18" s="34"/>
      <c r="E18" s="34"/>
      <c r="F18" s="34"/>
      <c r="G18" s="34"/>
      <c r="H18" s="34"/>
    </row>
    <row r="19" spans="1:8" x14ac:dyDescent="0.35">
      <c r="A19" s="2" t="s">
        <v>26</v>
      </c>
      <c r="B19" s="30"/>
      <c r="C19" s="32"/>
      <c r="D19" s="2" t="s">
        <v>27</v>
      </c>
      <c r="E19" s="30"/>
      <c r="F19" s="32"/>
      <c r="G19" s="2" t="s">
        <v>28</v>
      </c>
      <c r="H19" s="3"/>
    </row>
    <row r="21" spans="1:8" ht="24" customHeight="1" x14ac:dyDescent="0.35">
      <c r="A21" s="33" t="s">
        <v>29</v>
      </c>
      <c r="B21" s="34"/>
      <c r="C21" s="34"/>
      <c r="D21" s="34"/>
      <c r="E21" s="34"/>
      <c r="F21" s="34"/>
      <c r="G21" s="34"/>
      <c r="H21" s="34"/>
    </row>
    <row r="22" spans="1:8" ht="28" customHeight="1" x14ac:dyDescent="0.35">
      <c r="A22" s="43" t="s">
        <v>30</v>
      </c>
      <c r="B22" s="34"/>
      <c r="C22" s="34"/>
      <c r="D22" s="34"/>
      <c r="E22" s="34"/>
      <c r="F22" s="34"/>
      <c r="G22" s="34"/>
      <c r="H22" s="34"/>
    </row>
    <row r="23" spans="1:8" ht="42" customHeight="1" x14ac:dyDescent="0.35">
      <c r="A23" s="4" t="s">
        <v>31</v>
      </c>
      <c r="B23" s="30"/>
      <c r="C23" s="36"/>
      <c r="D23" s="36"/>
      <c r="E23" s="36"/>
      <c r="F23" s="36"/>
      <c r="G23" s="36"/>
      <c r="H23" s="37"/>
    </row>
    <row r="24" spans="1:8" ht="28" customHeight="1" x14ac:dyDescent="0.35">
      <c r="A24" s="5"/>
      <c r="B24" s="38"/>
      <c r="C24" s="34"/>
      <c r="D24" s="34"/>
      <c r="E24" s="34"/>
      <c r="F24" s="34"/>
      <c r="G24" s="34"/>
      <c r="H24" s="39"/>
    </row>
    <row r="25" spans="1:8" ht="28" customHeight="1" x14ac:dyDescent="0.35">
      <c r="A25" s="5"/>
      <c r="B25" s="38"/>
      <c r="C25" s="34"/>
      <c r="D25" s="34"/>
      <c r="E25" s="34"/>
      <c r="F25" s="34"/>
      <c r="G25" s="34"/>
      <c r="H25" s="39"/>
    </row>
    <row r="26" spans="1:8" ht="28" customHeight="1" x14ac:dyDescent="0.35">
      <c r="A26" s="5"/>
      <c r="B26" s="40"/>
      <c r="C26" s="29"/>
      <c r="D26" s="29"/>
      <c r="E26" s="29"/>
      <c r="F26" s="29"/>
      <c r="G26" s="29"/>
      <c r="H26" s="41"/>
    </row>
    <row r="28" spans="1:8" ht="24" customHeight="1" x14ac:dyDescent="0.35">
      <c r="A28" s="33" t="s">
        <v>32</v>
      </c>
      <c r="B28" s="34"/>
      <c r="C28" s="34"/>
      <c r="D28" s="34"/>
      <c r="E28" s="34"/>
      <c r="F28" s="34"/>
      <c r="G28" s="34"/>
      <c r="H28" s="34"/>
    </row>
    <row r="29" spans="1:8" ht="28" customHeight="1" x14ac:dyDescent="0.35">
      <c r="A29" s="2" t="s">
        <v>33</v>
      </c>
      <c r="B29" s="30"/>
      <c r="C29" s="31"/>
      <c r="D29" s="31"/>
      <c r="E29" s="31"/>
      <c r="F29" s="31"/>
      <c r="G29" s="31"/>
      <c r="H29" s="32"/>
    </row>
    <row r="30" spans="1:8" ht="28" customHeight="1" x14ac:dyDescent="0.35">
      <c r="A30" s="2" t="s">
        <v>34</v>
      </c>
      <c r="B30" s="30"/>
      <c r="C30" s="31"/>
      <c r="D30" s="31"/>
      <c r="E30" s="31"/>
      <c r="F30" s="31"/>
      <c r="G30" s="31"/>
      <c r="H30" s="32"/>
    </row>
    <row r="31" spans="1:8" ht="28" customHeight="1" x14ac:dyDescent="0.35">
      <c r="A31" s="2" t="s">
        <v>35</v>
      </c>
      <c r="B31" s="30"/>
      <c r="C31" s="31"/>
      <c r="D31" s="31"/>
      <c r="E31" s="31"/>
      <c r="F31" s="31"/>
      <c r="G31" s="31"/>
      <c r="H31" s="32"/>
    </row>
  </sheetData>
  <mergeCells count="30">
    <mergeCell ref="B31:H31"/>
    <mergeCell ref="A18:H18"/>
    <mergeCell ref="B5:D5"/>
    <mergeCell ref="A21:H21"/>
    <mergeCell ref="E8:H8"/>
    <mergeCell ref="B19:C19"/>
    <mergeCell ref="B12:H12"/>
    <mergeCell ref="B7:D7"/>
    <mergeCell ref="A22:H22"/>
    <mergeCell ref="A17:H17"/>
    <mergeCell ref="B14:H14"/>
    <mergeCell ref="E9:H9"/>
    <mergeCell ref="B13:H13"/>
    <mergeCell ref="E6:H6"/>
    <mergeCell ref="A28:H28"/>
    <mergeCell ref="B29:H29"/>
    <mergeCell ref="A1:H1"/>
    <mergeCell ref="B23:H26"/>
    <mergeCell ref="E19:F19"/>
    <mergeCell ref="B9:D9"/>
    <mergeCell ref="B16:H16"/>
    <mergeCell ref="B6:D6"/>
    <mergeCell ref="E5:H5"/>
    <mergeCell ref="A2:H2"/>
    <mergeCell ref="A4:H4"/>
    <mergeCell ref="B8:D8"/>
    <mergeCell ref="B30:H30"/>
    <mergeCell ref="E7:H7"/>
    <mergeCell ref="A11:H11"/>
    <mergeCell ref="B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7C6FF"/>
  </sheetPr>
  <dimension ref="A1:F54"/>
  <sheetViews>
    <sheetView showGridLines="0" workbookViewId="0"/>
  </sheetViews>
  <sheetFormatPr defaultRowHeight="14.5" x14ac:dyDescent="0.35"/>
  <cols>
    <col min="1" max="1" width="20" customWidth="1"/>
    <col min="2" max="2" width="24" customWidth="1"/>
    <col min="3" max="3" width="56" customWidth="1"/>
    <col min="4" max="4" width="32" customWidth="1"/>
    <col min="5" max="5" width="36" customWidth="1"/>
    <col min="6" max="6" width="16" customWidth="1"/>
  </cols>
  <sheetData>
    <row r="1" spans="1:6" x14ac:dyDescent="0.35">
      <c r="A1" s="35" t="s">
        <v>36</v>
      </c>
      <c r="B1" s="34"/>
      <c r="C1" s="34"/>
      <c r="D1" s="34"/>
      <c r="E1" s="34"/>
      <c r="F1" s="34"/>
    </row>
    <row r="2" spans="1:6" x14ac:dyDescent="0.35">
      <c r="A2" s="42" t="s">
        <v>37</v>
      </c>
      <c r="B2" s="34"/>
      <c r="C2" s="34"/>
      <c r="D2" s="34"/>
      <c r="E2" s="34"/>
      <c r="F2" s="34"/>
    </row>
    <row r="4" spans="1:6" x14ac:dyDescent="0.35">
      <c r="A4" s="6" t="s">
        <v>38</v>
      </c>
      <c r="B4" s="6" t="s">
        <v>39</v>
      </c>
      <c r="C4" s="6" t="s">
        <v>40</v>
      </c>
      <c r="D4" s="6" t="s">
        <v>41</v>
      </c>
      <c r="E4" s="6" t="s">
        <v>42</v>
      </c>
      <c r="F4" s="6" t="s">
        <v>43</v>
      </c>
    </row>
    <row r="5" spans="1:6" ht="54" customHeight="1" x14ac:dyDescent="0.35">
      <c r="A5" s="17" t="s">
        <v>44</v>
      </c>
      <c r="B5" s="17" t="s">
        <v>45</v>
      </c>
      <c r="C5" s="18" t="s">
        <v>46</v>
      </c>
      <c r="D5" s="18" t="s">
        <v>47</v>
      </c>
      <c r="E5" s="18" t="s">
        <v>48</v>
      </c>
      <c r="F5" s="18" t="s">
        <v>49</v>
      </c>
    </row>
    <row r="6" spans="1:6" ht="54" customHeight="1" x14ac:dyDescent="0.35">
      <c r="A6" s="19" t="s">
        <v>44</v>
      </c>
      <c r="B6" s="19" t="s">
        <v>50</v>
      </c>
      <c r="C6" s="7" t="s">
        <v>51</v>
      </c>
      <c r="D6" s="7" t="s">
        <v>52</v>
      </c>
      <c r="E6" s="7" t="s">
        <v>53</v>
      </c>
      <c r="F6" s="7" t="s">
        <v>49</v>
      </c>
    </row>
    <row r="7" spans="1:6" ht="54" customHeight="1" x14ac:dyDescent="0.35">
      <c r="A7" s="19" t="s">
        <v>44</v>
      </c>
      <c r="B7" s="19" t="s">
        <v>54</v>
      </c>
      <c r="C7" s="7" t="s">
        <v>55</v>
      </c>
      <c r="D7" s="7" t="s">
        <v>56</v>
      </c>
      <c r="E7" s="7" t="s">
        <v>57</v>
      </c>
      <c r="F7" s="7" t="s">
        <v>49</v>
      </c>
    </row>
    <row r="8" spans="1:6" ht="54" customHeight="1" x14ac:dyDescent="0.35">
      <c r="A8" s="19" t="s">
        <v>44</v>
      </c>
      <c r="B8" s="19" t="s">
        <v>58</v>
      </c>
      <c r="C8" s="7" t="s">
        <v>59</v>
      </c>
      <c r="D8" s="7" t="s">
        <v>60</v>
      </c>
      <c r="E8" s="7" t="s">
        <v>61</v>
      </c>
      <c r="F8" s="7" t="s">
        <v>49</v>
      </c>
    </row>
    <row r="9" spans="1:6" ht="54" customHeight="1" x14ac:dyDescent="0.35">
      <c r="A9" s="19" t="s">
        <v>44</v>
      </c>
      <c r="B9" s="19" t="s">
        <v>62</v>
      </c>
      <c r="C9" s="7" t="s">
        <v>63</v>
      </c>
      <c r="D9" s="7" t="s">
        <v>64</v>
      </c>
      <c r="E9" s="7" t="s">
        <v>65</v>
      </c>
      <c r="F9" s="7" t="s">
        <v>49</v>
      </c>
    </row>
    <row r="10" spans="1:6" ht="54" customHeight="1" x14ac:dyDescent="0.35">
      <c r="A10" s="19" t="s">
        <v>44</v>
      </c>
      <c r="B10" s="19" t="s">
        <v>66</v>
      </c>
      <c r="C10" s="7" t="s">
        <v>67</v>
      </c>
      <c r="D10" s="7" t="s">
        <v>68</v>
      </c>
      <c r="E10" s="7" t="s">
        <v>69</v>
      </c>
      <c r="F10" s="7" t="s">
        <v>70</v>
      </c>
    </row>
    <row r="11" spans="1:6" ht="54" customHeight="1" x14ac:dyDescent="0.35">
      <c r="A11" s="19" t="s">
        <v>44</v>
      </c>
      <c r="B11" s="19" t="s">
        <v>71</v>
      </c>
      <c r="C11" s="7" t="s">
        <v>72</v>
      </c>
      <c r="D11" s="7" t="s">
        <v>73</v>
      </c>
      <c r="E11" s="7" t="s">
        <v>74</v>
      </c>
      <c r="F11" s="7" t="s">
        <v>49</v>
      </c>
    </row>
    <row r="12" spans="1:6" ht="54" customHeight="1" x14ac:dyDescent="0.35">
      <c r="A12" s="19" t="s">
        <v>44</v>
      </c>
      <c r="B12" s="19" t="s">
        <v>75</v>
      </c>
      <c r="C12" s="7" t="s">
        <v>76</v>
      </c>
      <c r="D12" s="7" t="s">
        <v>77</v>
      </c>
      <c r="E12" s="7" t="s">
        <v>78</v>
      </c>
      <c r="F12" s="7" t="s">
        <v>70</v>
      </c>
    </row>
    <row r="13" spans="1:6" ht="54" customHeight="1" x14ac:dyDescent="0.35">
      <c r="A13" s="19" t="s">
        <v>44</v>
      </c>
      <c r="B13" s="19" t="s">
        <v>79</v>
      </c>
      <c r="C13" s="7" t="s">
        <v>80</v>
      </c>
      <c r="D13" s="7" t="s">
        <v>81</v>
      </c>
      <c r="E13" s="7" t="s">
        <v>82</v>
      </c>
      <c r="F13" s="7" t="s">
        <v>70</v>
      </c>
    </row>
    <row r="14" spans="1:6" ht="54" customHeight="1" x14ac:dyDescent="0.35">
      <c r="A14" s="19" t="s">
        <v>44</v>
      </c>
      <c r="B14" s="19" t="s">
        <v>83</v>
      </c>
      <c r="C14" s="7" t="s">
        <v>84</v>
      </c>
      <c r="D14" s="7" t="s">
        <v>85</v>
      </c>
      <c r="E14" s="7" t="s">
        <v>86</v>
      </c>
      <c r="F14" s="7" t="s">
        <v>70</v>
      </c>
    </row>
    <row r="15" spans="1:6" ht="54" customHeight="1" x14ac:dyDescent="0.35">
      <c r="A15" s="20" t="s">
        <v>87</v>
      </c>
      <c r="B15" s="20" t="s">
        <v>88</v>
      </c>
      <c r="C15" s="18" t="s">
        <v>89</v>
      </c>
      <c r="D15" s="18" t="s">
        <v>90</v>
      </c>
      <c r="E15" s="18" t="s">
        <v>91</v>
      </c>
      <c r="F15" s="18" t="s">
        <v>49</v>
      </c>
    </row>
    <row r="16" spans="1:6" ht="54" customHeight="1" x14ac:dyDescent="0.35">
      <c r="A16" s="21" t="s">
        <v>87</v>
      </c>
      <c r="B16" s="21" t="s">
        <v>92</v>
      </c>
      <c r="C16" s="7" t="s">
        <v>93</v>
      </c>
      <c r="D16" s="7" t="s">
        <v>94</v>
      </c>
      <c r="E16" s="7" t="s">
        <v>95</v>
      </c>
      <c r="F16" s="7" t="s">
        <v>49</v>
      </c>
    </row>
    <row r="17" spans="1:6" ht="54" customHeight="1" x14ac:dyDescent="0.35">
      <c r="A17" s="21" t="s">
        <v>87</v>
      </c>
      <c r="B17" s="21" t="s">
        <v>96</v>
      </c>
      <c r="C17" s="7" t="s">
        <v>97</v>
      </c>
      <c r="D17" s="7" t="s">
        <v>98</v>
      </c>
      <c r="E17" s="7" t="s">
        <v>99</v>
      </c>
      <c r="F17" s="7" t="s">
        <v>49</v>
      </c>
    </row>
    <row r="18" spans="1:6" ht="54" customHeight="1" x14ac:dyDescent="0.35">
      <c r="A18" s="21" t="s">
        <v>87</v>
      </c>
      <c r="B18" s="21" t="s">
        <v>100</v>
      </c>
      <c r="C18" s="7" t="s">
        <v>101</v>
      </c>
      <c r="D18" s="7" t="s">
        <v>102</v>
      </c>
      <c r="E18" s="7" t="s">
        <v>103</v>
      </c>
      <c r="F18" s="7" t="s">
        <v>49</v>
      </c>
    </row>
    <row r="19" spans="1:6" ht="54" customHeight="1" x14ac:dyDescent="0.35">
      <c r="A19" s="21" t="s">
        <v>87</v>
      </c>
      <c r="B19" s="21" t="s">
        <v>104</v>
      </c>
      <c r="C19" s="7" t="s">
        <v>105</v>
      </c>
      <c r="D19" s="7" t="s">
        <v>106</v>
      </c>
      <c r="E19" s="7" t="s">
        <v>107</v>
      </c>
      <c r="F19" s="7" t="s">
        <v>49</v>
      </c>
    </row>
    <row r="20" spans="1:6" ht="54" customHeight="1" x14ac:dyDescent="0.35">
      <c r="A20" s="21" t="s">
        <v>87</v>
      </c>
      <c r="B20" s="21" t="s">
        <v>108</v>
      </c>
      <c r="C20" s="7" t="s">
        <v>109</v>
      </c>
      <c r="D20" s="7" t="s">
        <v>110</v>
      </c>
      <c r="E20" s="7" t="s">
        <v>111</v>
      </c>
      <c r="F20" s="7" t="s">
        <v>70</v>
      </c>
    </row>
    <row r="21" spans="1:6" ht="54" customHeight="1" x14ac:dyDescent="0.35">
      <c r="A21" s="21" t="s">
        <v>87</v>
      </c>
      <c r="B21" s="21" t="s">
        <v>112</v>
      </c>
      <c r="C21" s="7" t="s">
        <v>113</v>
      </c>
      <c r="D21" s="7" t="s">
        <v>114</v>
      </c>
      <c r="E21" s="7" t="s">
        <v>115</v>
      </c>
      <c r="F21" s="7" t="s">
        <v>70</v>
      </c>
    </row>
    <row r="22" spans="1:6" ht="54" customHeight="1" x14ac:dyDescent="0.35">
      <c r="A22" s="21" t="s">
        <v>87</v>
      </c>
      <c r="B22" s="21" t="s">
        <v>116</v>
      </c>
      <c r="C22" s="7" t="s">
        <v>117</v>
      </c>
      <c r="D22" s="7" t="s">
        <v>118</v>
      </c>
      <c r="E22" s="7" t="s">
        <v>119</v>
      </c>
      <c r="F22" s="7" t="s">
        <v>70</v>
      </c>
    </row>
    <row r="23" spans="1:6" ht="54" customHeight="1" x14ac:dyDescent="0.35">
      <c r="A23" s="21" t="s">
        <v>87</v>
      </c>
      <c r="B23" s="21" t="s">
        <v>120</v>
      </c>
      <c r="C23" s="7" t="s">
        <v>121</v>
      </c>
      <c r="D23" s="7" t="s">
        <v>122</v>
      </c>
      <c r="E23" s="7" t="s">
        <v>123</v>
      </c>
      <c r="F23" s="7" t="s">
        <v>70</v>
      </c>
    </row>
    <row r="24" spans="1:6" ht="54" customHeight="1" x14ac:dyDescent="0.35">
      <c r="A24" s="21" t="s">
        <v>87</v>
      </c>
      <c r="B24" s="21" t="s">
        <v>124</v>
      </c>
      <c r="C24" s="7" t="s">
        <v>125</v>
      </c>
      <c r="D24" s="7" t="s">
        <v>126</v>
      </c>
      <c r="E24" s="7" t="s">
        <v>127</v>
      </c>
      <c r="F24" s="7" t="s">
        <v>70</v>
      </c>
    </row>
    <row r="25" spans="1:6" ht="54" customHeight="1" x14ac:dyDescent="0.35">
      <c r="A25" s="22" t="s">
        <v>128</v>
      </c>
      <c r="B25" s="22" t="s">
        <v>129</v>
      </c>
      <c r="C25" s="18" t="s">
        <v>130</v>
      </c>
      <c r="D25" s="18" t="s">
        <v>131</v>
      </c>
      <c r="E25" s="18" t="s">
        <v>132</v>
      </c>
      <c r="F25" s="18" t="s">
        <v>49</v>
      </c>
    </row>
    <row r="26" spans="1:6" ht="54" customHeight="1" x14ac:dyDescent="0.35">
      <c r="A26" s="23" t="s">
        <v>128</v>
      </c>
      <c r="B26" s="23" t="s">
        <v>133</v>
      </c>
      <c r="C26" s="7" t="s">
        <v>134</v>
      </c>
      <c r="D26" s="7" t="s">
        <v>135</v>
      </c>
      <c r="E26" s="7" t="s">
        <v>136</v>
      </c>
      <c r="F26" s="7" t="s">
        <v>49</v>
      </c>
    </row>
    <row r="27" spans="1:6" ht="54" customHeight="1" x14ac:dyDescent="0.35">
      <c r="A27" s="23" t="s">
        <v>128</v>
      </c>
      <c r="B27" s="23" t="s">
        <v>137</v>
      </c>
      <c r="C27" s="7" t="s">
        <v>138</v>
      </c>
      <c r="D27" s="7" t="s">
        <v>139</v>
      </c>
      <c r="E27" s="7" t="s">
        <v>140</v>
      </c>
      <c r="F27" s="7" t="s">
        <v>49</v>
      </c>
    </row>
    <row r="28" spans="1:6" ht="54" customHeight="1" x14ac:dyDescent="0.35">
      <c r="A28" s="23" t="s">
        <v>128</v>
      </c>
      <c r="B28" s="23" t="s">
        <v>141</v>
      </c>
      <c r="C28" s="7" t="s">
        <v>142</v>
      </c>
      <c r="D28" s="7" t="s">
        <v>143</v>
      </c>
      <c r="E28" s="7" t="s">
        <v>144</v>
      </c>
      <c r="F28" s="7" t="s">
        <v>49</v>
      </c>
    </row>
    <row r="29" spans="1:6" ht="54" customHeight="1" x14ac:dyDescent="0.35">
      <c r="A29" s="23" t="s">
        <v>128</v>
      </c>
      <c r="B29" s="23" t="s">
        <v>145</v>
      </c>
      <c r="C29" s="7" t="s">
        <v>146</v>
      </c>
      <c r="D29" s="7" t="s">
        <v>147</v>
      </c>
      <c r="E29" s="7" t="s">
        <v>148</v>
      </c>
      <c r="F29" s="7" t="s">
        <v>70</v>
      </c>
    </row>
    <row r="30" spans="1:6" ht="54" customHeight="1" x14ac:dyDescent="0.35">
      <c r="A30" s="23" t="s">
        <v>128</v>
      </c>
      <c r="B30" s="23" t="s">
        <v>149</v>
      </c>
      <c r="C30" s="7" t="s">
        <v>150</v>
      </c>
      <c r="D30" s="7" t="s">
        <v>151</v>
      </c>
      <c r="E30" s="7" t="s">
        <v>152</v>
      </c>
      <c r="F30" s="7" t="s">
        <v>70</v>
      </c>
    </row>
    <row r="31" spans="1:6" ht="54" customHeight="1" x14ac:dyDescent="0.35">
      <c r="A31" s="23" t="s">
        <v>128</v>
      </c>
      <c r="B31" s="23" t="s">
        <v>153</v>
      </c>
      <c r="C31" s="7" t="s">
        <v>154</v>
      </c>
      <c r="D31" s="7" t="s">
        <v>155</v>
      </c>
      <c r="E31" s="7" t="s">
        <v>156</v>
      </c>
      <c r="F31" s="7" t="s">
        <v>70</v>
      </c>
    </row>
    <row r="32" spans="1:6" ht="54" customHeight="1" x14ac:dyDescent="0.35">
      <c r="A32" s="23" t="s">
        <v>128</v>
      </c>
      <c r="B32" s="23" t="s">
        <v>157</v>
      </c>
      <c r="C32" s="7" t="s">
        <v>158</v>
      </c>
      <c r="D32" s="7" t="s">
        <v>159</v>
      </c>
      <c r="E32" s="7" t="s">
        <v>160</v>
      </c>
      <c r="F32" s="7" t="s">
        <v>70</v>
      </c>
    </row>
    <row r="33" spans="1:6" ht="54" customHeight="1" x14ac:dyDescent="0.35">
      <c r="A33" s="23" t="s">
        <v>128</v>
      </c>
      <c r="B33" s="23" t="s">
        <v>161</v>
      </c>
      <c r="C33" s="7" t="s">
        <v>162</v>
      </c>
      <c r="D33" s="7" t="s">
        <v>163</v>
      </c>
      <c r="E33" s="7" t="s">
        <v>164</v>
      </c>
      <c r="F33" s="7" t="s">
        <v>70</v>
      </c>
    </row>
    <row r="34" spans="1:6" ht="54" customHeight="1" x14ac:dyDescent="0.35">
      <c r="A34" s="23" t="s">
        <v>128</v>
      </c>
      <c r="B34" s="23" t="s">
        <v>165</v>
      </c>
      <c r="C34" s="7" t="s">
        <v>166</v>
      </c>
      <c r="D34" s="7" t="s">
        <v>167</v>
      </c>
      <c r="E34" s="7" t="s">
        <v>168</v>
      </c>
      <c r="F34" s="7" t="s">
        <v>70</v>
      </c>
    </row>
    <row r="35" spans="1:6" ht="54" customHeight="1" x14ac:dyDescent="0.35">
      <c r="A35" s="24" t="s">
        <v>169</v>
      </c>
      <c r="B35" s="24" t="s">
        <v>170</v>
      </c>
      <c r="C35" s="18" t="s">
        <v>171</v>
      </c>
      <c r="D35" s="18" t="s">
        <v>172</v>
      </c>
      <c r="E35" s="18" t="s">
        <v>173</v>
      </c>
      <c r="F35" s="18" t="s">
        <v>49</v>
      </c>
    </row>
    <row r="36" spans="1:6" ht="54" customHeight="1" x14ac:dyDescent="0.35">
      <c r="A36" s="25" t="s">
        <v>169</v>
      </c>
      <c r="B36" s="25" t="s">
        <v>174</v>
      </c>
      <c r="C36" s="7" t="s">
        <v>175</v>
      </c>
      <c r="D36" s="7" t="s">
        <v>176</v>
      </c>
      <c r="E36" s="7" t="s">
        <v>177</v>
      </c>
      <c r="F36" s="7" t="s">
        <v>49</v>
      </c>
    </row>
    <row r="37" spans="1:6" ht="54" customHeight="1" x14ac:dyDescent="0.35">
      <c r="A37" s="25" t="s">
        <v>169</v>
      </c>
      <c r="B37" s="25" t="s">
        <v>178</v>
      </c>
      <c r="C37" s="7" t="s">
        <v>179</v>
      </c>
      <c r="D37" s="7" t="s">
        <v>180</v>
      </c>
      <c r="E37" s="7" t="s">
        <v>181</v>
      </c>
      <c r="F37" s="7" t="s">
        <v>49</v>
      </c>
    </row>
    <row r="38" spans="1:6" ht="54" customHeight="1" x14ac:dyDescent="0.35">
      <c r="A38" s="25" t="s">
        <v>169</v>
      </c>
      <c r="B38" s="25" t="s">
        <v>182</v>
      </c>
      <c r="C38" s="7" t="s">
        <v>183</v>
      </c>
      <c r="D38" s="7" t="s">
        <v>184</v>
      </c>
      <c r="E38" s="7" t="s">
        <v>185</v>
      </c>
      <c r="F38" s="7" t="s">
        <v>49</v>
      </c>
    </row>
    <row r="39" spans="1:6" ht="54" customHeight="1" x14ac:dyDescent="0.35">
      <c r="A39" s="25" t="s">
        <v>169</v>
      </c>
      <c r="B39" s="25" t="s">
        <v>186</v>
      </c>
      <c r="C39" s="7" t="s">
        <v>187</v>
      </c>
      <c r="D39" s="7" t="s">
        <v>188</v>
      </c>
      <c r="E39" s="7" t="s">
        <v>189</v>
      </c>
      <c r="F39" s="7" t="s">
        <v>49</v>
      </c>
    </row>
    <row r="40" spans="1:6" ht="54" customHeight="1" x14ac:dyDescent="0.35">
      <c r="A40" s="25" t="s">
        <v>169</v>
      </c>
      <c r="B40" s="25" t="s">
        <v>190</v>
      </c>
      <c r="C40" s="7" t="s">
        <v>191</v>
      </c>
      <c r="D40" s="7" t="s">
        <v>192</v>
      </c>
      <c r="E40" s="7" t="s">
        <v>193</v>
      </c>
      <c r="F40" s="7" t="s">
        <v>70</v>
      </c>
    </row>
    <row r="41" spans="1:6" ht="54" customHeight="1" x14ac:dyDescent="0.35">
      <c r="A41" s="25" t="s">
        <v>169</v>
      </c>
      <c r="B41" s="25" t="s">
        <v>194</v>
      </c>
      <c r="C41" s="7" t="s">
        <v>195</v>
      </c>
      <c r="D41" s="7" t="s">
        <v>196</v>
      </c>
      <c r="E41" s="7" t="s">
        <v>197</v>
      </c>
      <c r="F41" s="7" t="s">
        <v>70</v>
      </c>
    </row>
    <row r="42" spans="1:6" ht="54" customHeight="1" x14ac:dyDescent="0.35">
      <c r="A42" s="25" t="s">
        <v>169</v>
      </c>
      <c r="B42" s="25" t="s">
        <v>198</v>
      </c>
      <c r="C42" s="7" t="s">
        <v>199</v>
      </c>
      <c r="D42" s="7" t="s">
        <v>200</v>
      </c>
      <c r="E42" s="7" t="s">
        <v>201</v>
      </c>
      <c r="F42" s="7" t="s">
        <v>70</v>
      </c>
    </row>
    <row r="43" spans="1:6" ht="54" customHeight="1" x14ac:dyDescent="0.35">
      <c r="A43" s="25" t="s">
        <v>169</v>
      </c>
      <c r="B43" s="25" t="s">
        <v>202</v>
      </c>
      <c r="C43" s="7" t="s">
        <v>203</v>
      </c>
      <c r="D43" s="7" t="s">
        <v>204</v>
      </c>
      <c r="E43" s="7" t="s">
        <v>205</v>
      </c>
      <c r="F43" s="7" t="s">
        <v>70</v>
      </c>
    </row>
    <row r="44" spans="1:6" ht="54" customHeight="1" x14ac:dyDescent="0.35">
      <c r="A44" s="25" t="s">
        <v>169</v>
      </c>
      <c r="B44" s="25" t="s">
        <v>206</v>
      </c>
      <c r="C44" s="7" t="s">
        <v>207</v>
      </c>
      <c r="D44" s="7" t="s">
        <v>208</v>
      </c>
      <c r="E44" s="7" t="s">
        <v>209</v>
      </c>
      <c r="F44" s="7" t="s">
        <v>70</v>
      </c>
    </row>
    <row r="45" spans="1:6" ht="54" customHeight="1" x14ac:dyDescent="0.35">
      <c r="A45" s="26" t="s">
        <v>210</v>
      </c>
      <c r="B45" s="26" t="s">
        <v>211</v>
      </c>
      <c r="C45" s="18" t="s">
        <v>212</v>
      </c>
      <c r="D45" s="18" t="s">
        <v>213</v>
      </c>
      <c r="E45" s="18" t="s">
        <v>214</v>
      </c>
      <c r="F45" s="18" t="s">
        <v>49</v>
      </c>
    </row>
    <row r="46" spans="1:6" ht="54" customHeight="1" x14ac:dyDescent="0.35">
      <c r="A46" s="27" t="s">
        <v>210</v>
      </c>
      <c r="B46" s="27" t="s">
        <v>215</v>
      </c>
      <c r="C46" s="7" t="s">
        <v>216</v>
      </c>
      <c r="D46" s="7" t="s">
        <v>217</v>
      </c>
      <c r="E46" s="7" t="s">
        <v>218</v>
      </c>
      <c r="F46" s="7" t="s">
        <v>49</v>
      </c>
    </row>
    <row r="47" spans="1:6" ht="54" customHeight="1" x14ac:dyDescent="0.35">
      <c r="A47" s="27" t="s">
        <v>210</v>
      </c>
      <c r="B47" s="27" t="s">
        <v>219</v>
      </c>
      <c r="C47" s="7" t="s">
        <v>220</v>
      </c>
      <c r="D47" s="7" t="s">
        <v>221</v>
      </c>
      <c r="E47" s="7" t="s">
        <v>222</v>
      </c>
      <c r="F47" s="7" t="s">
        <v>49</v>
      </c>
    </row>
    <row r="48" spans="1:6" ht="54" customHeight="1" x14ac:dyDescent="0.35">
      <c r="A48" s="27" t="s">
        <v>210</v>
      </c>
      <c r="B48" s="27" t="s">
        <v>223</v>
      </c>
      <c r="C48" s="7" t="s">
        <v>224</v>
      </c>
      <c r="D48" s="7" t="s">
        <v>225</v>
      </c>
      <c r="E48" s="7" t="s">
        <v>226</v>
      </c>
      <c r="F48" s="7" t="s">
        <v>49</v>
      </c>
    </row>
    <row r="49" spans="1:6" ht="54" customHeight="1" x14ac:dyDescent="0.35">
      <c r="A49" s="27" t="s">
        <v>210</v>
      </c>
      <c r="B49" s="27" t="s">
        <v>227</v>
      </c>
      <c r="C49" s="7" t="s">
        <v>228</v>
      </c>
      <c r="D49" s="7" t="s">
        <v>229</v>
      </c>
      <c r="E49" s="7" t="s">
        <v>230</v>
      </c>
      <c r="F49" s="7" t="s">
        <v>70</v>
      </c>
    </row>
    <row r="50" spans="1:6" ht="54" customHeight="1" x14ac:dyDescent="0.35">
      <c r="A50" s="27" t="s">
        <v>210</v>
      </c>
      <c r="B50" s="27" t="s">
        <v>231</v>
      </c>
      <c r="C50" s="7" t="s">
        <v>232</v>
      </c>
      <c r="D50" s="7" t="s">
        <v>233</v>
      </c>
      <c r="E50" s="7" t="s">
        <v>234</v>
      </c>
      <c r="F50" s="7" t="s">
        <v>70</v>
      </c>
    </row>
    <row r="51" spans="1:6" ht="54" customHeight="1" x14ac:dyDescent="0.35">
      <c r="A51" s="27" t="s">
        <v>210</v>
      </c>
      <c r="B51" s="27" t="s">
        <v>235</v>
      </c>
      <c r="C51" s="7" t="s">
        <v>236</v>
      </c>
      <c r="D51" s="7" t="s">
        <v>237</v>
      </c>
      <c r="E51" s="7" t="s">
        <v>238</v>
      </c>
      <c r="F51" s="7" t="s">
        <v>70</v>
      </c>
    </row>
    <row r="52" spans="1:6" ht="54" customHeight="1" x14ac:dyDescent="0.35">
      <c r="A52" s="27" t="s">
        <v>210</v>
      </c>
      <c r="B52" s="27" t="s">
        <v>239</v>
      </c>
      <c r="C52" s="7" t="s">
        <v>240</v>
      </c>
      <c r="D52" s="7" t="s">
        <v>241</v>
      </c>
      <c r="E52" s="7" t="s">
        <v>242</v>
      </c>
      <c r="F52" s="7" t="s">
        <v>70</v>
      </c>
    </row>
    <row r="53" spans="1:6" ht="54" customHeight="1" x14ac:dyDescent="0.35">
      <c r="A53" s="27" t="s">
        <v>210</v>
      </c>
      <c r="B53" s="27" t="s">
        <v>243</v>
      </c>
      <c r="C53" s="7" t="s">
        <v>244</v>
      </c>
      <c r="D53" s="7" t="s">
        <v>245</v>
      </c>
      <c r="E53" s="7" t="s">
        <v>246</v>
      </c>
      <c r="F53" s="7" t="s">
        <v>70</v>
      </c>
    </row>
    <row r="54" spans="1:6" ht="54" customHeight="1" x14ac:dyDescent="0.35">
      <c r="A54" s="27" t="s">
        <v>210</v>
      </c>
      <c r="B54" s="27" t="s">
        <v>247</v>
      </c>
      <c r="C54" s="7" t="s">
        <v>248</v>
      </c>
      <c r="D54" s="7" t="s">
        <v>249</v>
      </c>
      <c r="E54" s="7" t="s">
        <v>250</v>
      </c>
      <c r="F54" s="7" t="s">
        <v>70</v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8B6FF"/>
  </sheetPr>
  <dimension ref="A1:H11"/>
  <sheetViews>
    <sheetView showGridLines="0" tabSelected="1" workbookViewId="0">
      <selection activeCell="B5" sqref="B5"/>
    </sheetView>
  </sheetViews>
  <sheetFormatPr defaultRowHeight="14.5" x14ac:dyDescent="0.35"/>
  <cols>
    <col min="1" max="1" width="25" customWidth="1"/>
    <col min="2" max="2" width="34" customWidth="1"/>
    <col min="3" max="3" width="12" customWidth="1"/>
    <col min="4" max="4" width="30" customWidth="1"/>
    <col min="5" max="5" width="28" customWidth="1"/>
    <col min="6" max="6" width="18" customWidth="1"/>
    <col min="7" max="7" width="28" customWidth="1"/>
    <col min="8" max="8" width="24" customWidth="1"/>
  </cols>
  <sheetData>
    <row r="1" spans="1:8" x14ac:dyDescent="0.35">
      <c r="A1" s="35" t="s">
        <v>251</v>
      </c>
      <c r="B1" s="34"/>
      <c r="C1" s="34"/>
      <c r="D1" s="34"/>
      <c r="E1" s="34"/>
      <c r="F1" s="34"/>
      <c r="G1" s="34"/>
      <c r="H1" s="34"/>
    </row>
    <row r="2" spans="1:8" x14ac:dyDescent="0.35">
      <c r="A2" s="42" t="s">
        <v>252</v>
      </c>
      <c r="B2" s="34"/>
      <c r="C2" s="34"/>
      <c r="D2" s="34"/>
      <c r="E2" s="34"/>
      <c r="F2" s="34"/>
      <c r="G2" s="34"/>
      <c r="H2" s="34"/>
    </row>
    <row r="4" spans="1:8" ht="29" x14ac:dyDescent="0.35">
      <c r="A4" s="6" t="s">
        <v>253</v>
      </c>
      <c r="B4" s="6" t="s">
        <v>254</v>
      </c>
      <c r="C4" s="6" t="s">
        <v>255</v>
      </c>
      <c r="D4" s="6" t="s">
        <v>256</v>
      </c>
      <c r="E4" s="6" t="s">
        <v>257</v>
      </c>
      <c r="F4" s="6" t="s">
        <v>258</v>
      </c>
      <c r="G4" s="6" t="s">
        <v>259</v>
      </c>
      <c r="H4" s="6" t="s">
        <v>260</v>
      </c>
    </row>
    <row r="5" spans="1:8" ht="54" customHeight="1" x14ac:dyDescent="0.35">
      <c r="A5" s="7" t="s">
        <v>44</v>
      </c>
      <c r="B5" s="7" t="s">
        <v>261</v>
      </c>
      <c r="C5" s="8">
        <f>COUNTA(Money!$B$8:$B$15)</f>
        <v>0</v>
      </c>
      <c r="D5" s="7"/>
      <c r="E5" s="7"/>
      <c r="F5" s="8"/>
      <c r="G5" s="7"/>
      <c r="H5" s="7"/>
    </row>
    <row r="6" spans="1:8" ht="54" customHeight="1" x14ac:dyDescent="0.35">
      <c r="A6" s="3" t="s">
        <v>87</v>
      </c>
      <c r="B6" s="7" t="s">
        <v>262</v>
      </c>
      <c r="C6" s="9">
        <f>COUNTA(Intellectual!$B$8:$B$15)</f>
        <v>0</v>
      </c>
      <c r="D6" s="3"/>
      <c r="E6" s="3"/>
      <c r="F6" s="9"/>
      <c r="G6" s="3"/>
      <c r="H6" s="3"/>
    </row>
    <row r="7" spans="1:8" ht="54" customHeight="1" x14ac:dyDescent="0.35">
      <c r="A7" s="7" t="s">
        <v>128</v>
      </c>
      <c r="B7" s="7" t="s">
        <v>263</v>
      </c>
      <c r="C7" s="8">
        <f>COUNTA('Location Network Luck'!$B$8:$B$15)</f>
        <v>0</v>
      </c>
      <c r="D7" s="7"/>
      <c r="E7" s="7"/>
      <c r="F7" s="8"/>
      <c r="G7" s="7"/>
      <c r="H7" s="7"/>
    </row>
    <row r="8" spans="1:8" ht="54" customHeight="1" x14ac:dyDescent="0.35">
      <c r="A8" s="3" t="s">
        <v>169</v>
      </c>
      <c r="B8" s="7" t="s">
        <v>264</v>
      </c>
      <c r="C8" s="9">
        <f>COUNTA(Expertise!$B$8:$B$15)</f>
        <v>0</v>
      </c>
      <c r="D8" s="3"/>
      <c r="E8" s="3"/>
      <c r="F8" s="9"/>
      <c r="G8" s="3"/>
      <c r="H8" s="3"/>
    </row>
    <row r="9" spans="1:8" ht="54" customHeight="1" x14ac:dyDescent="0.35">
      <c r="A9" s="7" t="s">
        <v>210</v>
      </c>
      <c r="B9" s="7" t="s">
        <v>265</v>
      </c>
      <c r="C9" s="8">
        <f>COUNTA(Status!$B$8:$B$15)</f>
        <v>0</v>
      </c>
      <c r="D9" s="7"/>
      <c r="E9" s="7"/>
      <c r="F9" s="8"/>
      <c r="G9" s="7"/>
      <c r="H9" s="7"/>
    </row>
    <row r="11" spans="1:8" x14ac:dyDescent="0.35">
      <c r="A11" s="43" t="s">
        <v>266</v>
      </c>
      <c r="B11" s="34"/>
      <c r="C11" s="34"/>
      <c r="D11" s="34"/>
      <c r="E11" s="34"/>
      <c r="F11" s="34"/>
      <c r="G11" s="34"/>
      <c r="H11" s="34"/>
    </row>
  </sheetData>
  <mergeCells count="3">
    <mergeCell ref="A11:H11"/>
    <mergeCell ref="A1:H1"/>
    <mergeCell ref="A2:H2"/>
  </mergeCells>
  <dataValidations count="1">
    <dataValidation type="list" allowBlank="1" sqref="E5:E9" xr:uid="{00000000-0002-0000-0200-000000000000}">
      <formula1>"1,2,3,4,5"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6FF"/>
  </sheetPr>
  <dimension ref="A1:L15"/>
  <sheetViews>
    <sheetView showGridLines="0" workbookViewId="0"/>
  </sheetViews>
  <sheetFormatPr defaultRowHeight="14.5" x14ac:dyDescent="0.35"/>
  <cols>
    <col min="1" max="1" width="10" customWidth="1"/>
    <col min="2" max="2" width="24" customWidth="1"/>
    <col min="3" max="3" width="28" customWidth="1"/>
    <col min="4" max="5" width="12" customWidth="1"/>
    <col min="6" max="6" width="11" customWidth="1"/>
    <col min="7" max="7" width="10" customWidth="1"/>
    <col min="8" max="8" width="12" customWidth="1"/>
    <col min="9" max="9" width="22" customWidth="1"/>
    <col min="10" max="10" width="20" customWidth="1"/>
    <col min="11" max="11" width="13" customWidth="1"/>
    <col min="12" max="12" width="18" customWidth="1"/>
  </cols>
  <sheetData>
    <row r="1" spans="1:12" ht="24" customHeight="1" x14ac:dyDescent="0.35">
      <c r="A1" s="35" t="s">
        <v>267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24" customHeight="1" x14ac:dyDescent="0.35">
      <c r="A2" s="42" t="s">
        <v>268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30" customHeight="1" x14ac:dyDescent="0.35">
      <c r="A3" s="2" t="s">
        <v>269</v>
      </c>
      <c r="B3" s="46" t="str">
        <f>IF('Start Here'!$B$23&lt;&gt;"",'Start Here'!$B$23,"Write the SMART goal on Start Here")</f>
        <v>Write the SMART goal on Start Here</v>
      </c>
      <c r="C3" s="31"/>
      <c r="D3" s="31"/>
      <c r="E3" s="31"/>
      <c r="F3" s="31"/>
      <c r="G3" s="31"/>
      <c r="H3" s="31"/>
      <c r="I3" s="31"/>
      <c r="J3" s="31"/>
      <c r="K3" s="31"/>
      <c r="L3" s="32"/>
    </row>
    <row r="4" spans="1:12" ht="30" customHeight="1" x14ac:dyDescent="0.35">
      <c r="A4" s="2" t="s">
        <v>255</v>
      </c>
      <c r="B4" s="12">
        <f>COUNTA(B8:B15)</f>
        <v>0</v>
      </c>
      <c r="C4" s="45" t="s">
        <v>270</v>
      </c>
      <c r="D4" s="31"/>
      <c r="E4" s="31"/>
      <c r="F4" s="31"/>
      <c r="G4" s="31"/>
      <c r="H4" s="31"/>
      <c r="I4" s="31"/>
      <c r="J4" s="31"/>
      <c r="K4" s="31"/>
      <c r="L4" s="32"/>
    </row>
    <row r="5" spans="1:12" ht="10" customHeight="1" x14ac:dyDescent="0.35"/>
    <row r="6" spans="1:12" ht="22" customHeight="1" x14ac:dyDescent="0.35">
      <c r="A6" s="47" t="s">
        <v>271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</row>
    <row r="7" spans="1:12" ht="36" customHeight="1" x14ac:dyDescent="0.35">
      <c r="A7" s="6" t="s">
        <v>272</v>
      </c>
      <c r="B7" s="6" t="s">
        <v>273</v>
      </c>
      <c r="C7" s="6" t="s">
        <v>274</v>
      </c>
      <c r="D7" s="6" t="s">
        <v>275</v>
      </c>
      <c r="E7" s="6" t="s">
        <v>276</v>
      </c>
      <c r="F7" s="6" t="s">
        <v>277</v>
      </c>
      <c r="G7" s="6" t="s">
        <v>278</v>
      </c>
      <c r="H7" s="6" t="s">
        <v>279</v>
      </c>
      <c r="I7" s="6" t="s">
        <v>280</v>
      </c>
      <c r="J7" s="6" t="s">
        <v>281</v>
      </c>
      <c r="K7" s="6" t="s">
        <v>282</v>
      </c>
      <c r="L7" s="6" t="s">
        <v>283</v>
      </c>
    </row>
    <row r="8" spans="1:12" ht="48" customHeight="1" x14ac:dyDescent="0.35">
      <c r="A8" s="13">
        <v>1</v>
      </c>
      <c r="B8" s="7"/>
      <c r="C8" s="7"/>
      <c r="D8" s="13"/>
      <c r="E8" s="13"/>
      <c r="F8" s="13" t="str">
        <f t="shared" ref="F8:F15" si="0">IF(COUNTA(D8:E8)=2,MAX(E8-D8,0),"")</f>
        <v/>
      </c>
      <c r="G8" s="13"/>
      <c r="H8" s="13"/>
      <c r="I8" s="7"/>
      <c r="J8" s="7"/>
      <c r="K8" s="14"/>
      <c r="L8" s="7"/>
    </row>
    <row r="9" spans="1:12" ht="48" customHeight="1" x14ac:dyDescent="0.35">
      <c r="A9" s="12">
        <v>2</v>
      </c>
      <c r="B9" s="3"/>
      <c r="C9" s="3"/>
      <c r="D9" s="12"/>
      <c r="E9" s="12"/>
      <c r="F9" s="12" t="str">
        <f t="shared" si="0"/>
        <v/>
      </c>
      <c r="G9" s="12"/>
      <c r="H9" s="12"/>
      <c r="I9" s="3"/>
      <c r="J9" s="3"/>
      <c r="K9" s="15"/>
      <c r="L9" s="3"/>
    </row>
    <row r="10" spans="1:12" ht="48" customHeight="1" x14ac:dyDescent="0.35">
      <c r="A10" s="13">
        <v>3</v>
      </c>
      <c r="B10" s="7"/>
      <c r="C10" s="7"/>
      <c r="D10" s="13"/>
      <c r="E10" s="13"/>
      <c r="F10" s="13" t="str">
        <f t="shared" si="0"/>
        <v/>
      </c>
      <c r="G10" s="13"/>
      <c r="H10" s="13"/>
      <c r="I10" s="7"/>
      <c r="J10" s="7"/>
      <c r="K10" s="14"/>
      <c r="L10" s="7"/>
    </row>
    <row r="11" spans="1:12" ht="48" customHeight="1" x14ac:dyDescent="0.35">
      <c r="A11" s="12">
        <v>4</v>
      </c>
      <c r="B11" s="3"/>
      <c r="C11" s="3"/>
      <c r="D11" s="12"/>
      <c r="E11" s="12"/>
      <c r="F11" s="12" t="str">
        <f t="shared" si="0"/>
        <v/>
      </c>
      <c r="G11" s="12"/>
      <c r="H11" s="12"/>
      <c r="I11" s="3"/>
      <c r="J11" s="3"/>
      <c r="K11" s="15"/>
      <c r="L11" s="3"/>
    </row>
    <row r="12" spans="1:12" ht="48" customHeight="1" x14ac:dyDescent="0.35">
      <c r="A12" s="13">
        <v>5</v>
      </c>
      <c r="B12" s="7"/>
      <c r="C12" s="7"/>
      <c r="D12" s="13"/>
      <c r="E12" s="13"/>
      <c r="F12" s="13" t="str">
        <f t="shared" si="0"/>
        <v/>
      </c>
      <c r="G12" s="13"/>
      <c r="H12" s="13"/>
      <c r="I12" s="7"/>
      <c r="J12" s="7"/>
      <c r="K12" s="14"/>
      <c r="L12" s="7"/>
    </row>
    <row r="13" spans="1:12" ht="48" customHeight="1" x14ac:dyDescent="0.35">
      <c r="A13" s="12">
        <v>6</v>
      </c>
      <c r="B13" s="3"/>
      <c r="C13" s="3"/>
      <c r="D13" s="12"/>
      <c r="E13" s="12"/>
      <c r="F13" s="12" t="str">
        <f t="shared" si="0"/>
        <v/>
      </c>
      <c r="G13" s="12"/>
      <c r="H13" s="12"/>
      <c r="I13" s="3"/>
      <c r="J13" s="3"/>
      <c r="K13" s="15"/>
      <c r="L13" s="3"/>
    </row>
    <row r="14" spans="1:12" ht="48" customHeight="1" x14ac:dyDescent="0.35">
      <c r="A14" s="13">
        <v>7</v>
      </c>
      <c r="B14" s="7"/>
      <c r="C14" s="7"/>
      <c r="D14" s="13"/>
      <c r="E14" s="13"/>
      <c r="F14" s="13" t="str">
        <f t="shared" si="0"/>
        <v/>
      </c>
      <c r="G14" s="13"/>
      <c r="H14" s="13"/>
      <c r="I14" s="7"/>
      <c r="J14" s="7"/>
      <c r="K14" s="14"/>
      <c r="L14" s="7"/>
    </row>
    <row r="15" spans="1:12" ht="48" customHeight="1" x14ac:dyDescent="0.35">
      <c r="A15" s="12">
        <v>8</v>
      </c>
      <c r="B15" s="3"/>
      <c r="C15" s="3"/>
      <c r="D15" s="12"/>
      <c r="E15" s="12"/>
      <c r="F15" s="12" t="str">
        <f t="shared" si="0"/>
        <v/>
      </c>
      <c r="G15" s="12"/>
      <c r="H15" s="12"/>
      <c r="I15" s="3"/>
      <c r="J15" s="3"/>
      <c r="K15" s="15"/>
      <c r="L15" s="3"/>
    </row>
  </sheetData>
  <mergeCells count="5">
    <mergeCell ref="A2:L2"/>
    <mergeCell ref="C4:L4"/>
    <mergeCell ref="A1:L1"/>
    <mergeCell ref="B3:L3"/>
    <mergeCell ref="A6:L6"/>
  </mergeCells>
  <dataValidations count="1">
    <dataValidation type="list" allowBlank="1" sqref="D8:D15 E8:E15 G8:G15 H8:H15" xr:uid="{00000000-0002-0000-0300-000000000000}">
      <formula1>"1,2,3,4,5"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7C6FF"/>
  </sheetPr>
  <dimension ref="A1:L15"/>
  <sheetViews>
    <sheetView showGridLines="0" workbookViewId="0"/>
  </sheetViews>
  <sheetFormatPr defaultRowHeight="14.5" x14ac:dyDescent="0.35"/>
  <cols>
    <col min="1" max="1" width="10" customWidth="1"/>
    <col min="2" max="2" width="24" customWidth="1"/>
    <col min="3" max="3" width="28" customWidth="1"/>
    <col min="4" max="5" width="12" customWidth="1"/>
    <col min="6" max="6" width="11" customWidth="1"/>
    <col min="7" max="7" width="10" customWidth="1"/>
    <col min="8" max="8" width="12" customWidth="1"/>
    <col min="9" max="9" width="22" customWidth="1"/>
    <col min="10" max="10" width="20" customWidth="1"/>
    <col min="11" max="11" width="13" customWidth="1"/>
    <col min="12" max="12" width="18" customWidth="1"/>
  </cols>
  <sheetData>
    <row r="1" spans="1:12" ht="24" customHeight="1" x14ac:dyDescent="0.35">
      <c r="A1" s="35" t="s">
        <v>284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24" customHeight="1" x14ac:dyDescent="0.35">
      <c r="A2" s="42" t="s">
        <v>285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30" customHeight="1" x14ac:dyDescent="0.35">
      <c r="A3" s="2" t="s">
        <v>269</v>
      </c>
      <c r="B3" s="46" t="str">
        <f>IF('Start Here'!$B$23&lt;&gt;"",'Start Here'!$B$23,"Write the SMART goal on Start Here")</f>
        <v>Write the SMART goal on Start Here</v>
      </c>
      <c r="C3" s="31"/>
      <c r="D3" s="31"/>
      <c r="E3" s="31"/>
      <c r="F3" s="31"/>
      <c r="G3" s="31"/>
      <c r="H3" s="31"/>
      <c r="I3" s="31"/>
      <c r="J3" s="31"/>
      <c r="K3" s="31"/>
      <c r="L3" s="32"/>
    </row>
    <row r="4" spans="1:12" ht="30" customHeight="1" x14ac:dyDescent="0.35">
      <c r="A4" s="2" t="s">
        <v>255</v>
      </c>
      <c r="B4" s="12">
        <f>COUNTA(B8:B15)</f>
        <v>0</v>
      </c>
      <c r="C4" s="45" t="s">
        <v>270</v>
      </c>
      <c r="D4" s="31"/>
      <c r="E4" s="31"/>
      <c r="F4" s="31"/>
      <c r="G4" s="31"/>
      <c r="H4" s="31"/>
      <c r="I4" s="31"/>
      <c r="J4" s="31"/>
      <c r="K4" s="31"/>
      <c r="L4" s="32"/>
    </row>
    <row r="5" spans="1:12" ht="10" customHeight="1" x14ac:dyDescent="0.35"/>
    <row r="6" spans="1:12" ht="22" customHeight="1" x14ac:dyDescent="0.35">
      <c r="A6" s="47" t="s">
        <v>271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</row>
    <row r="7" spans="1:12" ht="36" customHeight="1" x14ac:dyDescent="0.35">
      <c r="A7" s="6" t="s">
        <v>272</v>
      </c>
      <c r="B7" s="6" t="s">
        <v>273</v>
      </c>
      <c r="C7" s="6" t="s">
        <v>274</v>
      </c>
      <c r="D7" s="6" t="s">
        <v>275</v>
      </c>
      <c r="E7" s="6" t="s">
        <v>276</v>
      </c>
      <c r="F7" s="6" t="s">
        <v>277</v>
      </c>
      <c r="G7" s="6" t="s">
        <v>278</v>
      </c>
      <c r="H7" s="6" t="s">
        <v>279</v>
      </c>
      <c r="I7" s="6" t="s">
        <v>280</v>
      </c>
      <c r="J7" s="6" t="s">
        <v>281</v>
      </c>
      <c r="K7" s="6" t="s">
        <v>282</v>
      </c>
      <c r="L7" s="6" t="s">
        <v>283</v>
      </c>
    </row>
    <row r="8" spans="1:12" ht="48" customHeight="1" x14ac:dyDescent="0.35">
      <c r="A8" s="13">
        <v>1</v>
      </c>
      <c r="B8" s="7"/>
      <c r="C8" s="7"/>
      <c r="D8" s="13"/>
      <c r="E8" s="13"/>
      <c r="F8" s="13" t="str">
        <f t="shared" ref="F8:F15" si="0">IF(COUNTA(D8:E8)=2,MAX(E8-D8,0),"")</f>
        <v/>
      </c>
      <c r="G8" s="13"/>
      <c r="H8" s="13"/>
      <c r="I8" s="7"/>
      <c r="J8" s="7"/>
      <c r="K8" s="14"/>
      <c r="L8" s="7"/>
    </row>
    <row r="9" spans="1:12" ht="48" customHeight="1" x14ac:dyDescent="0.35">
      <c r="A9" s="12">
        <v>2</v>
      </c>
      <c r="B9" s="3"/>
      <c r="C9" s="3"/>
      <c r="D9" s="12"/>
      <c r="E9" s="12"/>
      <c r="F9" s="12" t="str">
        <f t="shared" si="0"/>
        <v/>
      </c>
      <c r="G9" s="12"/>
      <c r="H9" s="12"/>
      <c r="I9" s="3"/>
      <c r="J9" s="3"/>
      <c r="K9" s="15"/>
      <c r="L9" s="3"/>
    </row>
    <row r="10" spans="1:12" ht="48" customHeight="1" x14ac:dyDescent="0.35">
      <c r="A10" s="13">
        <v>3</v>
      </c>
      <c r="B10" s="7"/>
      <c r="C10" s="7"/>
      <c r="D10" s="13"/>
      <c r="E10" s="13"/>
      <c r="F10" s="13" t="str">
        <f t="shared" si="0"/>
        <v/>
      </c>
      <c r="G10" s="13"/>
      <c r="H10" s="13"/>
      <c r="I10" s="7"/>
      <c r="J10" s="7"/>
      <c r="K10" s="14"/>
      <c r="L10" s="7"/>
    </row>
    <row r="11" spans="1:12" ht="48" customHeight="1" x14ac:dyDescent="0.35">
      <c r="A11" s="12">
        <v>4</v>
      </c>
      <c r="B11" s="3"/>
      <c r="C11" s="3"/>
      <c r="D11" s="12"/>
      <c r="E11" s="12"/>
      <c r="F11" s="12" t="str">
        <f t="shared" si="0"/>
        <v/>
      </c>
      <c r="G11" s="12"/>
      <c r="H11" s="12"/>
      <c r="I11" s="3"/>
      <c r="J11" s="3"/>
      <c r="K11" s="15"/>
      <c r="L11" s="3"/>
    </row>
    <row r="12" spans="1:12" ht="48" customHeight="1" x14ac:dyDescent="0.35">
      <c r="A12" s="13">
        <v>5</v>
      </c>
      <c r="B12" s="7"/>
      <c r="C12" s="7"/>
      <c r="D12" s="13"/>
      <c r="E12" s="13"/>
      <c r="F12" s="13" t="str">
        <f t="shared" si="0"/>
        <v/>
      </c>
      <c r="G12" s="13"/>
      <c r="H12" s="13"/>
      <c r="I12" s="7"/>
      <c r="J12" s="7"/>
      <c r="K12" s="14"/>
      <c r="L12" s="7"/>
    </row>
    <row r="13" spans="1:12" ht="48" customHeight="1" x14ac:dyDescent="0.35">
      <c r="A13" s="12">
        <v>6</v>
      </c>
      <c r="B13" s="3"/>
      <c r="C13" s="3"/>
      <c r="D13" s="12"/>
      <c r="E13" s="12"/>
      <c r="F13" s="12" t="str">
        <f t="shared" si="0"/>
        <v/>
      </c>
      <c r="G13" s="12"/>
      <c r="H13" s="12"/>
      <c r="I13" s="3"/>
      <c r="J13" s="3"/>
      <c r="K13" s="15"/>
      <c r="L13" s="3"/>
    </row>
    <row r="14" spans="1:12" ht="48" customHeight="1" x14ac:dyDescent="0.35">
      <c r="A14" s="13">
        <v>7</v>
      </c>
      <c r="B14" s="7"/>
      <c r="C14" s="7"/>
      <c r="D14" s="13"/>
      <c r="E14" s="13"/>
      <c r="F14" s="13" t="str">
        <f t="shared" si="0"/>
        <v/>
      </c>
      <c r="G14" s="13"/>
      <c r="H14" s="13"/>
      <c r="I14" s="7"/>
      <c r="J14" s="7"/>
      <c r="K14" s="14"/>
      <c r="L14" s="7"/>
    </row>
    <row r="15" spans="1:12" ht="48" customHeight="1" x14ac:dyDescent="0.35">
      <c r="A15" s="12">
        <v>8</v>
      </c>
      <c r="B15" s="3"/>
      <c r="C15" s="3"/>
      <c r="D15" s="12"/>
      <c r="E15" s="12"/>
      <c r="F15" s="12" t="str">
        <f t="shared" si="0"/>
        <v/>
      </c>
      <c r="G15" s="12"/>
      <c r="H15" s="12"/>
      <c r="I15" s="3"/>
      <c r="J15" s="3"/>
      <c r="K15" s="15"/>
      <c r="L15" s="3"/>
    </row>
  </sheetData>
  <mergeCells count="5">
    <mergeCell ref="A2:L2"/>
    <mergeCell ref="C4:L4"/>
    <mergeCell ref="A1:L1"/>
    <mergeCell ref="B3:L3"/>
    <mergeCell ref="A6:L6"/>
  </mergeCells>
  <dataValidations count="1">
    <dataValidation type="list" allowBlank="1" sqref="D8:D15 E8:E15 G8:G15 H8:H15" xr:uid="{00000000-0002-0000-0400-000000000000}">
      <formula1>"1,2,3,4,5"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8C0FF"/>
  </sheetPr>
  <dimension ref="A1:L15"/>
  <sheetViews>
    <sheetView showGridLines="0" workbookViewId="0"/>
  </sheetViews>
  <sheetFormatPr defaultRowHeight="14.5" x14ac:dyDescent="0.35"/>
  <cols>
    <col min="1" max="1" width="10" customWidth="1"/>
    <col min="2" max="2" width="24" customWidth="1"/>
    <col min="3" max="3" width="28" customWidth="1"/>
    <col min="4" max="5" width="12" customWidth="1"/>
    <col min="6" max="6" width="11" customWidth="1"/>
    <col min="7" max="7" width="10" customWidth="1"/>
    <col min="8" max="8" width="12" customWidth="1"/>
    <col min="9" max="9" width="22" customWidth="1"/>
    <col min="10" max="10" width="20" customWidth="1"/>
    <col min="11" max="11" width="13" customWidth="1"/>
    <col min="12" max="12" width="18" customWidth="1"/>
  </cols>
  <sheetData>
    <row r="1" spans="1:12" ht="24" customHeight="1" x14ac:dyDescent="0.35">
      <c r="A1" s="35" t="s">
        <v>286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24" customHeight="1" x14ac:dyDescent="0.35">
      <c r="A2" s="42" t="s">
        <v>287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30" customHeight="1" x14ac:dyDescent="0.35">
      <c r="A3" s="2" t="s">
        <v>269</v>
      </c>
      <c r="B3" s="46" t="str">
        <f>IF('Start Here'!$B$23&lt;&gt;"",'Start Here'!$B$23,"Write the SMART goal on Start Here")</f>
        <v>Write the SMART goal on Start Here</v>
      </c>
      <c r="C3" s="31"/>
      <c r="D3" s="31"/>
      <c r="E3" s="31"/>
      <c r="F3" s="31"/>
      <c r="G3" s="31"/>
      <c r="H3" s="31"/>
      <c r="I3" s="31"/>
      <c r="J3" s="31"/>
      <c r="K3" s="31"/>
      <c r="L3" s="32"/>
    </row>
    <row r="4" spans="1:12" ht="30" customHeight="1" x14ac:dyDescent="0.35">
      <c r="A4" s="2" t="s">
        <v>255</v>
      </c>
      <c r="B4" s="12">
        <f>COUNTA(B8:B15)</f>
        <v>0</v>
      </c>
      <c r="C4" s="45" t="s">
        <v>270</v>
      </c>
      <c r="D4" s="31"/>
      <c r="E4" s="31"/>
      <c r="F4" s="31"/>
      <c r="G4" s="31"/>
      <c r="H4" s="31"/>
      <c r="I4" s="31"/>
      <c r="J4" s="31"/>
      <c r="K4" s="31"/>
      <c r="L4" s="32"/>
    </row>
    <row r="5" spans="1:12" ht="10" customHeight="1" x14ac:dyDescent="0.35"/>
    <row r="6" spans="1:12" ht="22" customHeight="1" x14ac:dyDescent="0.35">
      <c r="A6" s="47" t="s">
        <v>271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</row>
    <row r="7" spans="1:12" ht="36" customHeight="1" x14ac:dyDescent="0.35">
      <c r="A7" s="6" t="s">
        <v>272</v>
      </c>
      <c r="B7" s="6" t="s">
        <v>273</v>
      </c>
      <c r="C7" s="6" t="s">
        <v>274</v>
      </c>
      <c r="D7" s="6" t="s">
        <v>275</v>
      </c>
      <c r="E7" s="6" t="s">
        <v>276</v>
      </c>
      <c r="F7" s="6" t="s">
        <v>277</v>
      </c>
      <c r="G7" s="6" t="s">
        <v>278</v>
      </c>
      <c r="H7" s="6" t="s">
        <v>279</v>
      </c>
      <c r="I7" s="6" t="s">
        <v>280</v>
      </c>
      <c r="J7" s="6" t="s">
        <v>281</v>
      </c>
      <c r="K7" s="6" t="s">
        <v>282</v>
      </c>
      <c r="L7" s="6" t="s">
        <v>283</v>
      </c>
    </row>
    <row r="8" spans="1:12" ht="48" customHeight="1" x14ac:dyDescent="0.35">
      <c r="A8" s="13">
        <v>1</v>
      </c>
      <c r="B8" s="7"/>
      <c r="C8" s="7"/>
      <c r="D8" s="13"/>
      <c r="E8" s="13"/>
      <c r="F8" s="13" t="str">
        <f t="shared" ref="F8:F15" si="0">IF(COUNTA(D8:E8)=2,MAX(E8-D8,0),"")</f>
        <v/>
      </c>
      <c r="G8" s="13"/>
      <c r="H8" s="13"/>
      <c r="I8" s="7"/>
      <c r="J8" s="7"/>
      <c r="K8" s="14"/>
      <c r="L8" s="7"/>
    </row>
    <row r="9" spans="1:12" ht="48" customHeight="1" x14ac:dyDescent="0.35">
      <c r="A9" s="12">
        <v>2</v>
      </c>
      <c r="B9" s="3"/>
      <c r="C9" s="3"/>
      <c r="D9" s="12"/>
      <c r="E9" s="12"/>
      <c r="F9" s="12" t="str">
        <f t="shared" si="0"/>
        <v/>
      </c>
      <c r="G9" s="12"/>
      <c r="H9" s="12"/>
      <c r="I9" s="3"/>
      <c r="J9" s="3"/>
      <c r="K9" s="15"/>
      <c r="L9" s="3"/>
    </row>
    <row r="10" spans="1:12" ht="48" customHeight="1" x14ac:dyDescent="0.35">
      <c r="A10" s="13">
        <v>3</v>
      </c>
      <c r="B10" s="7"/>
      <c r="C10" s="7"/>
      <c r="D10" s="13"/>
      <c r="E10" s="13"/>
      <c r="F10" s="13" t="str">
        <f t="shared" si="0"/>
        <v/>
      </c>
      <c r="G10" s="13"/>
      <c r="H10" s="13"/>
      <c r="I10" s="7"/>
      <c r="J10" s="7"/>
      <c r="K10" s="14"/>
      <c r="L10" s="7"/>
    </row>
    <row r="11" spans="1:12" ht="48" customHeight="1" x14ac:dyDescent="0.35">
      <c r="A11" s="12">
        <v>4</v>
      </c>
      <c r="B11" s="3"/>
      <c r="C11" s="3"/>
      <c r="D11" s="12"/>
      <c r="E11" s="12"/>
      <c r="F11" s="12" t="str">
        <f t="shared" si="0"/>
        <v/>
      </c>
      <c r="G11" s="12"/>
      <c r="H11" s="12"/>
      <c r="I11" s="3"/>
      <c r="J11" s="3"/>
      <c r="K11" s="15"/>
      <c r="L11" s="3"/>
    </row>
    <row r="12" spans="1:12" ht="48" customHeight="1" x14ac:dyDescent="0.35">
      <c r="A12" s="13">
        <v>5</v>
      </c>
      <c r="B12" s="7"/>
      <c r="C12" s="7"/>
      <c r="D12" s="13"/>
      <c r="E12" s="13"/>
      <c r="F12" s="13" t="str">
        <f t="shared" si="0"/>
        <v/>
      </c>
      <c r="G12" s="13"/>
      <c r="H12" s="13"/>
      <c r="I12" s="7"/>
      <c r="J12" s="7"/>
      <c r="K12" s="14"/>
      <c r="L12" s="7"/>
    </row>
    <row r="13" spans="1:12" ht="48" customHeight="1" x14ac:dyDescent="0.35">
      <c r="A13" s="12">
        <v>6</v>
      </c>
      <c r="B13" s="3"/>
      <c r="C13" s="3"/>
      <c r="D13" s="12"/>
      <c r="E13" s="12"/>
      <c r="F13" s="12" t="str">
        <f t="shared" si="0"/>
        <v/>
      </c>
      <c r="G13" s="12"/>
      <c r="H13" s="12"/>
      <c r="I13" s="3"/>
      <c r="J13" s="3"/>
      <c r="K13" s="15"/>
      <c r="L13" s="3"/>
    </row>
    <row r="14" spans="1:12" ht="48" customHeight="1" x14ac:dyDescent="0.35">
      <c r="A14" s="13">
        <v>7</v>
      </c>
      <c r="B14" s="7"/>
      <c r="C14" s="7"/>
      <c r="D14" s="13"/>
      <c r="E14" s="13"/>
      <c r="F14" s="13" t="str">
        <f t="shared" si="0"/>
        <v/>
      </c>
      <c r="G14" s="13"/>
      <c r="H14" s="13"/>
      <c r="I14" s="7"/>
      <c r="J14" s="7"/>
      <c r="K14" s="14"/>
      <c r="L14" s="7"/>
    </row>
    <row r="15" spans="1:12" ht="48" customHeight="1" x14ac:dyDescent="0.35">
      <c r="A15" s="12">
        <v>8</v>
      </c>
      <c r="B15" s="3"/>
      <c r="C15" s="3"/>
      <c r="D15" s="12"/>
      <c r="E15" s="12"/>
      <c r="F15" s="12" t="str">
        <f t="shared" si="0"/>
        <v/>
      </c>
      <c r="G15" s="12"/>
      <c r="H15" s="12"/>
      <c r="I15" s="3"/>
      <c r="J15" s="3"/>
      <c r="K15" s="15"/>
      <c r="L15" s="3"/>
    </row>
  </sheetData>
  <mergeCells count="5">
    <mergeCell ref="A2:L2"/>
    <mergeCell ref="C4:L4"/>
    <mergeCell ref="A1:L1"/>
    <mergeCell ref="B3:L3"/>
    <mergeCell ref="A6:L6"/>
  </mergeCells>
  <dataValidations count="1">
    <dataValidation type="list" allowBlank="1" sqref="D8:D15 E8:E15 G8:G15 H8:H15" xr:uid="{00000000-0002-0000-0500-000000000000}">
      <formula1>"1,2,3,4,5"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BD0FF"/>
  </sheetPr>
  <dimension ref="A1:L15"/>
  <sheetViews>
    <sheetView showGridLines="0" workbookViewId="0"/>
  </sheetViews>
  <sheetFormatPr defaultRowHeight="14.5" x14ac:dyDescent="0.35"/>
  <cols>
    <col min="1" max="1" width="10" customWidth="1"/>
    <col min="2" max="2" width="24" customWidth="1"/>
    <col min="3" max="3" width="28" customWidth="1"/>
    <col min="4" max="5" width="12" customWidth="1"/>
    <col min="6" max="6" width="11" customWidth="1"/>
    <col min="7" max="7" width="10" customWidth="1"/>
    <col min="8" max="8" width="12" customWidth="1"/>
    <col min="9" max="9" width="22" customWidth="1"/>
    <col min="10" max="10" width="20" customWidth="1"/>
    <col min="11" max="11" width="13" customWidth="1"/>
    <col min="12" max="12" width="18" customWidth="1"/>
  </cols>
  <sheetData>
    <row r="1" spans="1:12" ht="24" customHeight="1" x14ac:dyDescent="0.35">
      <c r="A1" s="35" t="s">
        <v>288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24" customHeight="1" x14ac:dyDescent="0.35">
      <c r="A2" s="42" t="s">
        <v>289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30" customHeight="1" x14ac:dyDescent="0.35">
      <c r="A3" s="2" t="s">
        <v>269</v>
      </c>
      <c r="B3" s="46" t="str">
        <f>IF('Start Here'!$B$23&lt;&gt;"",'Start Here'!$B$23,"Write the SMART goal on Start Here")</f>
        <v>Write the SMART goal on Start Here</v>
      </c>
      <c r="C3" s="31"/>
      <c r="D3" s="31"/>
      <c r="E3" s="31"/>
      <c r="F3" s="31"/>
      <c r="G3" s="31"/>
      <c r="H3" s="31"/>
      <c r="I3" s="31"/>
      <c r="J3" s="31"/>
      <c r="K3" s="31"/>
      <c r="L3" s="32"/>
    </row>
    <row r="4" spans="1:12" ht="30" customHeight="1" x14ac:dyDescent="0.35">
      <c r="A4" s="2" t="s">
        <v>255</v>
      </c>
      <c r="B4" s="12">
        <f>COUNTA(B8:B15)</f>
        <v>0</v>
      </c>
      <c r="C4" s="45" t="s">
        <v>270</v>
      </c>
      <c r="D4" s="31"/>
      <c r="E4" s="31"/>
      <c r="F4" s="31"/>
      <c r="G4" s="31"/>
      <c r="H4" s="31"/>
      <c r="I4" s="31"/>
      <c r="J4" s="31"/>
      <c r="K4" s="31"/>
      <c r="L4" s="32"/>
    </row>
    <row r="5" spans="1:12" ht="10" customHeight="1" x14ac:dyDescent="0.35"/>
    <row r="6" spans="1:12" ht="22" customHeight="1" x14ac:dyDescent="0.35">
      <c r="A6" s="47" t="s">
        <v>271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</row>
    <row r="7" spans="1:12" ht="36" customHeight="1" x14ac:dyDescent="0.35">
      <c r="A7" s="6" t="s">
        <v>272</v>
      </c>
      <c r="B7" s="6" t="s">
        <v>273</v>
      </c>
      <c r="C7" s="6" t="s">
        <v>274</v>
      </c>
      <c r="D7" s="6" t="s">
        <v>275</v>
      </c>
      <c r="E7" s="6" t="s">
        <v>276</v>
      </c>
      <c r="F7" s="6" t="s">
        <v>277</v>
      </c>
      <c r="G7" s="6" t="s">
        <v>278</v>
      </c>
      <c r="H7" s="6" t="s">
        <v>279</v>
      </c>
      <c r="I7" s="6" t="s">
        <v>280</v>
      </c>
      <c r="J7" s="6" t="s">
        <v>281</v>
      </c>
      <c r="K7" s="6" t="s">
        <v>282</v>
      </c>
      <c r="L7" s="6" t="s">
        <v>283</v>
      </c>
    </row>
    <row r="8" spans="1:12" ht="48" customHeight="1" x14ac:dyDescent="0.35">
      <c r="A8" s="13">
        <v>1</v>
      </c>
      <c r="B8" s="7"/>
      <c r="C8" s="7"/>
      <c r="D8" s="13"/>
      <c r="E8" s="13"/>
      <c r="F8" s="13" t="str">
        <f t="shared" ref="F8:F15" si="0">IF(COUNTA(D8:E8)=2,MAX(E8-D8,0),"")</f>
        <v/>
      </c>
      <c r="G8" s="13"/>
      <c r="H8" s="13"/>
      <c r="I8" s="7"/>
      <c r="J8" s="7"/>
      <c r="K8" s="14"/>
      <c r="L8" s="7"/>
    </row>
    <row r="9" spans="1:12" ht="48" customHeight="1" x14ac:dyDescent="0.35">
      <c r="A9" s="12">
        <v>2</v>
      </c>
      <c r="B9" s="3"/>
      <c r="C9" s="3"/>
      <c r="D9" s="12"/>
      <c r="E9" s="12"/>
      <c r="F9" s="12" t="str">
        <f t="shared" si="0"/>
        <v/>
      </c>
      <c r="G9" s="12"/>
      <c r="H9" s="12"/>
      <c r="I9" s="3"/>
      <c r="J9" s="3"/>
      <c r="K9" s="15"/>
      <c r="L9" s="3"/>
    </row>
    <row r="10" spans="1:12" ht="48" customHeight="1" x14ac:dyDescent="0.35">
      <c r="A10" s="13">
        <v>3</v>
      </c>
      <c r="B10" s="7"/>
      <c r="C10" s="7"/>
      <c r="D10" s="13"/>
      <c r="E10" s="13"/>
      <c r="F10" s="13" t="str">
        <f t="shared" si="0"/>
        <v/>
      </c>
      <c r="G10" s="13"/>
      <c r="H10" s="13"/>
      <c r="I10" s="7"/>
      <c r="J10" s="7"/>
      <c r="K10" s="14"/>
      <c r="L10" s="7"/>
    </row>
    <row r="11" spans="1:12" ht="48" customHeight="1" x14ac:dyDescent="0.35">
      <c r="A11" s="12">
        <v>4</v>
      </c>
      <c r="B11" s="3"/>
      <c r="C11" s="3"/>
      <c r="D11" s="12"/>
      <c r="E11" s="12"/>
      <c r="F11" s="12" t="str">
        <f t="shared" si="0"/>
        <v/>
      </c>
      <c r="G11" s="12"/>
      <c r="H11" s="12"/>
      <c r="I11" s="3"/>
      <c r="J11" s="3"/>
      <c r="K11" s="15"/>
      <c r="L11" s="3"/>
    </row>
    <row r="12" spans="1:12" ht="48" customHeight="1" x14ac:dyDescent="0.35">
      <c r="A12" s="13">
        <v>5</v>
      </c>
      <c r="B12" s="7"/>
      <c r="C12" s="7"/>
      <c r="D12" s="13"/>
      <c r="E12" s="13"/>
      <c r="F12" s="13" t="str">
        <f t="shared" si="0"/>
        <v/>
      </c>
      <c r="G12" s="13"/>
      <c r="H12" s="13"/>
      <c r="I12" s="7"/>
      <c r="J12" s="7"/>
      <c r="K12" s="14"/>
      <c r="L12" s="7"/>
    </row>
    <row r="13" spans="1:12" ht="48" customHeight="1" x14ac:dyDescent="0.35">
      <c r="A13" s="12">
        <v>6</v>
      </c>
      <c r="B13" s="3"/>
      <c r="C13" s="3"/>
      <c r="D13" s="12"/>
      <c r="E13" s="12"/>
      <c r="F13" s="12" t="str">
        <f t="shared" si="0"/>
        <v/>
      </c>
      <c r="G13" s="12"/>
      <c r="H13" s="12"/>
      <c r="I13" s="3"/>
      <c r="J13" s="3"/>
      <c r="K13" s="15"/>
      <c r="L13" s="3"/>
    </row>
    <row r="14" spans="1:12" ht="48" customHeight="1" x14ac:dyDescent="0.35">
      <c r="A14" s="13">
        <v>7</v>
      </c>
      <c r="B14" s="7"/>
      <c r="C14" s="7"/>
      <c r="D14" s="13"/>
      <c r="E14" s="13"/>
      <c r="F14" s="13" t="str">
        <f t="shared" si="0"/>
        <v/>
      </c>
      <c r="G14" s="13"/>
      <c r="H14" s="13"/>
      <c r="I14" s="7"/>
      <c r="J14" s="7"/>
      <c r="K14" s="14"/>
      <c r="L14" s="7"/>
    </row>
    <row r="15" spans="1:12" ht="48" customHeight="1" x14ac:dyDescent="0.35">
      <c r="A15" s="12">
        <v>8</v>
      </c>
      <c r="B15" s="3"/>
      <c r="C15" s="3"/>
      <c r="D15" s="12"/>
      <c r="E15" s="12"/>
      <c r="F15" s="12" t="str">
        <f t="shared" si="0"/>
        <v/>
      </c>
      <c r="G15" s="12"/>
      <c r="H15" s="12"/>
      <c r="I15" s="3"/>
      <c r="J15" s="3"/>
      <c r="K15" s="15"/>
      <c r="L15" s="3"/>
    </row>
  </sheetData>
  <mergeCells count="5">
    <mergeCell ref="A2:L2"/>
    <mergeCell ref="C4:L4"/>
    <mergeCell ref="A1:L1"/>
    <mergeCell ref="B3:L3"/>
    <mergeCell ref="A6:L6"/>
  </mergeCells>
  <dataValidations count="1">
    <dataValidation type="list" allowBlank="1" sqref="D8:D15 E8:E15 G8:G15 H8:H15" xr:uid="{00000000-0002-0000-0600-000000000000}">
      <formula1>"1,2,3,4,5"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8B6FF"/>
  </sheetPr>
  <dimension ref="A1:L15"/>
  <sheetViews>
    <sheetView showGridLines="0" workbookViewId="0"/>
  </sheetViews>
  <sheetFormatPr defaultRowHeight="14.5" x14ac:dyDescent="0.35"/>
  <cols>
    <col min="1" max="1" width="10" customWidth="1"/>
    <col min="2" max="2" width="24" customWidth="1"/>
    <col min="3" max="3" width="28" customWidth="1"/>
    <col min="4" max="5" width="12" customWidth="1"/>
    <col min="6" max="6" width="11" customWidth="1"/>
    <col min="7" max="7" width="10" customWidth="1"/>
    <col min="8" max="8" width="12" customWidth="1"/>
    <col min="9" max="9" width="22" customWidth="1"/>
    <col min="10" max="10" width="20" customWidth="1"/>
    <col min="11" max="11" width="13" customWidth="1"/>
    <col min="12" max="12" width="18" customWidth="1"/>
  </cols>
  <sheetData>
    <row r="1" spans="1:12" ht="24" customHeight="1" x14ac:dyDescent="0.35">
      <c r="A1" s="35" t="s">
        <v>290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24" customHeight="1" x14ac:dyDescent="0.35">
      <c r="A2" s="42" t="s">
        <v>291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30" customHeight="1" x14ac:dyDescent="0.35">
      <c r="A3" s="2" t="s">
        <v>269</v>
      </c>
      <c r="B3" s="46" t="str">
        <f>IF('Start Here'!$B$23&lt;&gt;"",'Start Here'!$B$23,"Write the SMART goal on Start Here")</f>
        <v>Write the SMART goal on Start Here</v>
      </c>
      <c r="C3" s="31"/>
      <c r="D3" s="31"/>
      <c r="E3" s="31"/>
      <c r="F3" s="31"/>
      <c r="G3" s="31"/>
      <c r="H3" s="31"/>
      <c r="I3" s="31"/>
      <c r="J3" s="31"/>
      <c r="K3" s="31"/>
      <c r="L3" s="32"/>
    </row>
    <row r="4" spans="1:12" ht="30" customHeight="1" x14ac:dyDescent="0.35">
      <c r="A4" s="2" t="s">
        <v>255</v>
      </c>
      <c r="B4" s="12">
        <f>COUNTA(B8:B15)</f>
        <v>0</v>
      </c>
      <c r="C4" s="45" t="s">
        <v>270</v>
      </c>
      <c r="D4" s="31"/>
      <c r="E4" s="31"/>
      <c r="F4" s="31"/>
      <c r="G4" s="31"/>
      <c r="H4" s="31"/>
      <c r="I4" s="31"/>
      <c r="J4" s="31"/>
      <c r="K4" s="31"/>
      <c r="L4" s="32"/>
    </row>
    <row r="5" spans="1:12" ht="10" customHeight="1" x14ac:dyDescent="0.35"/>
    <row r="6" spans="1:12" ht="22" customHeight="1" x14ac:dyDescent="0.35">
      <c r="A6" s="47" t="s">
        <v>271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</row>
    <row r="7" spans="1:12" ht="36" customHeight="1" x14ac:dyDescent="0.35">
      <c r="A7" s="6" t="s">
        <v>272</v>
      </c>
      <c r="B7" s="6" t="s">
        <v>273</v>
      </c>
      <c r="C7" s="6" t="s">
        <v>274</v>
      </c>
      <c r="D7" s="6" t="s">
        <v>275</v>
      </c>
      <c r="E7" s="6" t="s">
        <v>276</v>
      </c>
      <c r="F7" s="6" t="s">
        <v>277</v>
      </c>
      <c r="G7" s="6" t="s">
        <v>278</v>
      </c>
      <c r="H7" s="6" t="s">
        <v>279</v>
      </c>
      <c r="I7" s="6" t="s">
        <v>280</v>
      </c>
      <c r="J7" s="6" t="s">
        <v>281</v>
      </c>
      <c r="K7" s="6" t="s">
        <v>282</v>
      </c>
      <c r="L7" s="6" t="s">
        <v>283</v>
      </c>
    </row>
    <row r="8" spans="1:12" ht="48" customHeight="1" x14ac:dyDescent="0.35">
      <c r="A8" s="13">
        <v>1</v>
      </c>
      <c r="B8" s="7"/>
      <c r="C8" s="7"/>
      <c r="D8" s="13"/>
      <c r="E8" s="13"/>
      <c r="F8" s="13" t="str">
        <f t="shared" ref="F8:F15" si="0">IF(COUNTA(D8:E8)=2,MAX(E8-D8,0),"")</f>
        <v/>
      </c>
      <c r="G8" s="13"/>
      <c r="H8" s="13"/>
      <c r="I8" s="7"/>
      <c r="J8" s="7"/>
      <c r="K8" s="14"/>
      <c r="L8" s="7"/>
    </row>
    <row r="9" spans="1:12" ht="48" customHeight="1" x14ac:dyDescent="0.35">
      <c r="A9" s="12">
        <v>2</v>
      </c>
      <c r="B9" s="3"/>
      <c r="C9" s="3"/>
      <c r="D9" s="12"/>
      <c r="E9" s="12"/>
      <c r="F9" s="12" t="str">
        <f t="shared" si="0"/>
        <v/>
      </c>
      <c r="G9" s="12"/>
      <c r="H9" s="12"/>
      <c r="I9" s="3"/>
      <c r="J9" s="3"/>
      <c r="K9" s="15"/>
      <c r="L9" s="3"/>
    </row>
    <row r="10" spans="1:12" ht="48" customHeight="1" x14ac:dyDescent="0.35">
      <c r="A10" s="13">
        <v>3</v>
      </c>
      <c r="B10" s="7"/>
      <c r="C10" s="7"/>
      <c r="D10" s="13"/>
      <c r="E10" s="13"/>
      <c r="F10" s="13" t="str">
        <f t="shared" si="0"/>
        <v/>
      </c>
      <c r="G10" s="13"/>
      <c r="H10" s="13"/>
      <c r="I10" s="7"/>
      <c r="J10" s="7"/>
      <c r="K10" s="14"/>
      <c r="L10" s="7"/>
    </row>
    <row r="11" spans="1:12" ht="48" customHeight="1" x14ac:dyDescent="0.35">
      <c r="A11" s="12">
        <v>4</v>
      </c>
      <c r="B11" s="3"/>
      <c r="C11" s="3"/>
      <c r="D11" s="12"/>
      <c r="E11" s="12"/>
      <c r="F11" s="12" t="str">
        <f t="shared" si="0"/>
        <v/>
      </c>
      <c r="G11" s="12"/>
      <c r="H11" s="12"/>
      <c r="I11" s="3"/>
      <c r="J11" s="3"/>
      <c r="K11" s="15"/>
      <c r="L11" s="3"/>
    </row>
    <row r="12" spans="1:12" ht="48" customHeight="1" x14ac:dyDescent="0.35">
      <c r="A12" s="13">
        <v>5</v>
      </c>
      <c r="B12" s="7"/>
      <c r="C12" s="7"/>
      <c r="D12" s="13"/>
      <c r="E12" s="13"/>
      <c r="F12" s="13" t="str">
        <f t="shared" si="0"/>
        <v/>
      </c>
      <c r="G12" s="13"/>
      <c r="H12" s="13"/>
      <c r="I12" s="7"/>
      <c r="J12" s="7"/>
      <c r="K12" s="14"/>
      <c r="L12" s="7"/>
    </row>
    <row r="13" spans="1:12" ht="48" customHeight="1" x14ac:dyDescent="0.35">
      <c r="A13" s="12">
        <v>6</v>
      </c>
      <c r="B13" s="3"/>
      <c r="C13" s="3"/>
      <c r="D13" s="12"/>
      <c r="E13" s="12"/>
      <c r="F13" s="12" t="str">
        <f t="shared" si="0"/>
        <v/>
      </c>
      <c r="G13" s="12"/>
      <c r="H13" s="12"/>
      <c r="I13" s="3"/>
      <c r="J13" s="3"/>
      <c r="K13" s="15"/>
      <c r="L13" s="3"/>
    </row>
    <row r="14" spans="1:12" ht="48" customHeight="1" x14ac:dyDescent="0.35">
      <c r="A14" s="13">
        <v>7</v>
      </c>
      <c r="B14" s="7"/>
      <c r="C14" s="7"/>
      <c r="D14" s="13"/>
      <c r="E14" s="13"/>
      <c r="F14" s="13" t="str">
        <f t="shared" si="0"/>
        <v/>
      </c>
      <c r="G14" s="13"/>
      <c r="H14" s="13"/>
      <c r="I14" s="7"/>
      <c r="J14" s="7"/>
      <c r="K14" s="14"/>
      <c r="L14" s="7"/>
    </row>
    <row r="15" spans="1:12" ht="48" customHeight="1" x14ac:dyDescent="0.35">
      <c r="A15" s="12">
        <v>8</v>
      </c>
      <c r="B15" s="3"/>
      <c r="C15" s="3"/>
      <c r="D15" s="12"/>
      <c r="E15" s="12"/>
      <c r="F15" s="12" t="str">
        <f t="shared" si="0"/>
        <v/>
      </c>
      <c r="G15" s="12"/>
      <c r="H15" s="12"/>
      <c r="I15" s="3"/>
      <c r="J15" s="3"/>
      <c r="K15" s="15"/>
      <c r="L15" s="3"/>
    </row>
  </sheetData>
  <mergeCells count="5">
    <mergeCell ref="A2:L2"/>
    <mergeCell ref="C4:L4"/>
    <mergeCell ref="A1:L1"/>
    <mergeCell ref="B3:L3"/>
    <mergeCell ref="A6:L6"/>
  </mergeCells>
  <dataValidations count="1">
    <dataValidation type="list" allowBlank="1" sqref="D8:D15 E8:E15 G8:G15 H8:H15" xr:uid="{00000000-0002-0000-0700-000000000000}">
      <formula1>"1,2,3,4,5"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D6FF"/>
  </sheetPr>
  <dimension ref="A1:L10"/>
  <sheetViews>
    <sheetView showGridLines="0" workbookViewId="0"/>
  </sheetViews>
  <sheetFormatPr defaultRowHeight="14.5" x14ac:dyDescent="0.35"/>
  <cols>
    <col min="1" max="1" width="10" customWidth="1"/>
    <col min="2" max="2" width="22" customWidth="1"/>
    <col min="3" max="3" width="24" customWidth="1"/>
    <col min="4" max="5" width="12" customWidth="1"/>
    <col min="6" max="6" width="11" customWidth="1"/>
    <col min="7" max="7" width="10" customWidth="1"/>
    <col min="8" max="8" width="12" customWidth="1"/>
    <col min="9" max="9" width="11" customWidth="1"/>
    <col min="10" max="10" width="24" customWidth="1"/>
    <col min="11" max="11" width="13" customWidth="1"/>
    <col min="12" max="12" width="14" customWidth="1"/>
  </cols>
  <sheetData>
    <row r="1" spans="1:12" ht="24" customHeight="1" x14ac:dyDescent="0.35">
      <c r="A1" s="35" t="s">
        <v>292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30" customHeight="1" x14ac:dyDescent="0.35">
      <c r="A2" s="47" t="s">
        <v>293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30" customHeight="1" x14ac:dyDescent="0.35">
      <c r="A3" s="2" t="s">
        <v>269</v>
      </c>
      <c r="B3" s="46" t="str">
        <f>IF('Start Here'!$B$23&lt;&gt;"",'Start Here'!$B$23,"Write the SMART goal on Start Here")</f>
        <v>Write the SMART goal on Start Here</v>
      </c>
      <c r="C3" s="31"/>
      <c r="D3" s="31"/>
      <c r="E3" s="31"/>
      <c r="F3" s="31"/>
      <c r="G3" s="31"/>
      <c r="H3" s="31"/>
      <c r="I3" s="31"/>
      <c r="J3" s="31"/>
      <c r="K3" s="31"/>
      <c r="L3" s="32"/>
    </row>
    <row r="4" spans="1:12" ht="10" customHeight="1" x14ac:dyDescent="0.35"/>
    <row r="5" spans="1:12" ht="36" customHeight="1" x14ac:dyDescent="0.35">
      <c r="A5" s="6" t="s">
        <v>294</v>
      </c>
      <c r="B5" s="6" t="s">
        <v>253</v>
      </c>
      <c r="C5" s="6" t="s">
        <v>295</v>
      </c>
      <c r="D5" s="6" t="s">
        <v>275</v>
      </c>
      <c r="E5" s="6" t="s">
        <v>276</v>
      </c>
      <c r="F5" s="6" t="s">
        <v>277</v>
      </c>
      <c r="G5" s="6" t="s">
        <v>278</v>
      </c>
      <c r="H5" s="6" t="s">
        <v>279</v>
      </c>
      <c r="I5" s="6" t="s">
        <v>296</v>
      </c>
      <c r="J5" s="6" t="s">
        <v>297</v>
      </c>
      <c r="K5" s="6" t="s">
        <v>282</v>
      </c>
      <c r="L5" s="6" t="s">
        <v>298</v>
      </c>
    </row>
    <row r="6" spans="1:12" ht="44" customHeight="1" x14ac:dyDescent="0.35">
      <c r="A6" s="13">
        <v>1</v>
      </c>
      <c r="B6" s="7"/>
      <c r="C6" s="7"/>
      <c r="D6" s="13"/>
      <c r="E6" s="13"/>
      <c r="F6" s="13" t="str">
        <f>IF(COUNTA(D6:E6)=2,MAX(E6-D6,0),"")</f>
        <v/>
      </c>
      <c r="G6" s="13"/>
      <c r="H6" s="13"/>
      <c r="I6" s="16" t="str">
        <f>IF(COUNTA(F6:H6)=3,F6*G6*H6,"")</f>
        <v/>
      </c>
      <c r="J6" s="7"/>
      <c r="K6" s="14"/>
      <c r="L6" s="7"/>
    </row>
    <row r="7" spans="1:12" ht="44" customHeight="1" x14ac:dyDescent="0.35">
      <c r="A7" s="12">
        <v>2</v>
      </c>
      <c r="B7" s="3"/>
      <c r="C7" s="3"/>
      <c r="D7" s="12"/>
      <c r="E7" s="12"/>
      <c r="F7" s="12" t="str">
        <f>IF(COUNTA(D7:E7)=2,MAX(E7-D7,0),"")</f>
        <v/>
      </c>
      <c r="G7" s="12"/>
      <c r="H7" s="12"/>
      <c r="I7" s="16" t="str">
        <f>IF(COUNTA(F7:H7)=3,F7*G7*H7,"")</f>
        <v/>
      </c>
      <c r="J7" s="3"/>
      <c r="K7" s="15"/>
      <c r="L7" s="3"/>
    </row>
    <row r="8" spans="1:12" ht="44" customHeight="1" x14ac:dyDescent="0.35">
      <c r="A8" s="13">
        <v>3</v>
      </c>
      <c r="B8" s="7"/>
      <c r="C8" s="7"/>
      <c r="D8" s="13"/>
      <c r="E8" s="13"/>
      <c r="F8" s="13" t="str">
        <f>IF(COUNTA(D8:E8)=2,MAX(E8-D8,0),"")</f>
        <v/>
      </c>
      <c r="G8" s="13"/>
      <c r="H8" s="13"/>
      <c r="I8" s="16" t="str">
        <f>IF(COUNTA(F8:H8)=3,F8*G8*H8,"")</f>
        <v/>
      </c>
      <c r="J8" s="7"/>
      <c r="K8" s="14"/>
      <c r="L8" s="7"/>
    </row>
    <row r="9" spans="1:12" ht="44" customHeight="1" x14ac:dyDescent="0.35">
      <c r="A9" s="12">
        <v>4</v>
      </c>
      <c r="B9" s="3"/>
      <c r="C9" s="3"/>
      <c r="D9" s="12"/>
      <c r="E9" s="12"/>
      <c r="F9" s="12" t="str">
        <f>IF(COUNTA(D9:E9)=2,MAX(E9-D9,0),"")</f>
        <v/>
      </c>
      <c r="G9" s="12"/>
      <c r="H9" s="12"/>
      <c r="I9" s="16" t="str">
        <f>IF(COUNTA(F9:H9)=3,F9*G9*H9,"")</f>
        <v/>
      </c>
      <c r="J9" s="3"/>
      <c r="K9" s="15"/>
      <c r="L9" s="3"/>
    </row>
    <row r="10" spans="1:12" ht="44" customHeight="1" x14ac:dyDescent="0.35">
      <c r="A10" s="13">
        <v>5</v>
      </c>
      <c r="B10" s="7"/>
      <c r="C10" s="7"/>
      <c r="D10" s="13"/>
      <c r="E10" s="13"/>
      <c r="F10" s="13" t="str">
        <f>IF(COUNTA(D10:E10)=2,MAX(E10-D10,0),"")</f>
        <v/>
      </c>
      <c r="G10" s="13"/>
      <c r="H10" s="13"/>
      <c r="I10" s="16" t="str">
        <f>IF(COUNTA(F10:H10)=3,F10*G10*H10,"")</f>
        <v/>
      </c>
      <c r="J10" s="7"/>
      <c r="K10" s="14"/>
      <c r="L10" s="7"/>
    </row>
  </sheetData>
  <mergeCells count="3">
    <mergeCell ref="A2:L2"/>
    <mergeCell ref="A1:L1"/>
    <mergeCell ref="B3:L3"/>
  </mergeCells>
  <dataValidations count="3">
    <dataValidation type="list" allowBlank="1" sqref="B6:B10" xr:uid="{00000000-0002-0000-0800-000000000000}">
      <formula1>"Money,Intellectual,Location / Network / Luck,Expertise,Status"</formula1>
    </dataValidation>
    <dataValidation type="list" allowBlank="1" sqref="D6:D10 E6:E10 G6:G10 H6:H10" xr:uid="{00000000-0002-0000-0800-000001000000}">
      <formula1>"1,2,3,4,5"</formula1>
    </dataValidation>
    <dataValidation type="list" allowBlank="1" sqref="L6:L10" xr:uid="{00000000-0002-0000-0800-000002000000}">
      <formula1>"Not started,In progress,Done"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7C6FF"/>
  </sheetPr>
  <dimension ref="A1:G12"/>
  <sheetViews>
    <sheetView showGridLines="0" workbookViewId="0"/>
  </sheetViews>
  <sheetFormatPr defaultRowHeight="14.5" x14ac:dyDescent="0.35"/>
  <cols>
    <col min="1" max="1" width="14" customWidth="1"/>
    <col min="2" max="3" width="24" customWidth="1"/>
    <col min="4" max="4" width="20" customWidth="1"/>
    <col min="5" max="5" width="22" customWidth="1"/>
    <col min="6" max="6" width="18" customWidth="1"/>
    <col min="7" max="7" width="14" customWidth="1"/>
  </cols>
  <sheetData>
    <row r="1" spans="1:7" x14ac:dyDescent="0.35">
      <c r="A1" s="35" t="s">
        <v>299</v>
      </c>
      <c r="B1" s="34"/>
      <c r="C1" s="34"/>
      <c r="D1" s="34"/>
      <c r="E1" s="34"/>
      <c r="F1" s="34"/>
      <c r="G1" s="34"/>
    </row>
    <row r="2" spans="1:7" x14ac:dyDescent="0.35">
      <c r="A2" s="42" t="s">
        <v>300</v>
      </c>
      <c r="B2" s="34"/>
      <c r="C2" s="34"/>
      <c r="D2" s="34"/>
      <c r="E2" s="34"/>
      <c r="F2" s="34"/>
      <c r="G2" s="34"/>
    </row>
    <row r="4" spans="1:7" x14ac:dyDescent="0.35">
      <c r="A4" s="6" t="s">
        <v>301</v>
      </c>
      <c r="B4" s="6" t="s">
        <v>302</v>
      </c>
      <c r="C4" s="6" t="s">
        <v>303</v>
      </c>
      <c r="D4" s="6" t="s">
        <v>304</v>
      </c>
      <c r="E4" s="6" t="s">
        <v>305</v>
      </c>
      <c r="F4" s="6" t="s">
        <v>35</v>
      </c>
      <c r="G4" s="6" t="s">
        <v>306</v>
      </c>
    </row>
    <row r="5" spans="1:7" ht="40" customHeight="1" x14ac:dyDescent="0.35">
      <c r="A5" s="10"/>
      <c r="B5" s="7"/>
      <c r="C5" s="7"/>
      <c r="D5" s="7"/>
      <c r="E5" s="7"/>
      <c r="F5" s="7"/>
      <c r="G5" s="10"/>
    </row>
    <row r="6" spans="1:7" ht="40" customHeight="1" x14ac:dyDescent="0.35">
      <c r="A6" s="11"/>
      <c r="B6" s="3"/>
      <c r="C6" s="3"/>
      <c r="D6" s="3"/>
      <c r="E6" s="3"/>
      <c r="F6" s="3"/>
      <c r="G6" s="11"/>
    </row>
    <row r="7" spans="1:7" ht="40" customHeight="1" x14ac:dyDescent="0.35">
      <c r="A7" s="10"/>
      <c r="B7" s="7"/>
      <c r="C7" s="7"/>
      <c r="D7" s="7"/>
      <c r="E7" s="7"/>
      <c r="F7" s="7"/>
      <c r="G7" s="10"/>
    </row>
    <row r="8" spans="1:7" ht="40" customHeight="1" x14ac:dyDescent="0.35">
      <c r="A8" s="11"/>
      <c r="B8" s="3"/>
      <c r="C8" s="3"/>
      <c r="D8" s="3"/>
      <c r="E8" s="3"/>
      <c r="F8" s="3"/>
      <c r="G8" s="11"/>
    </row>
    <row r="9" spans="1:7" ht="40" customHeight="1" x14ac:dyDescent="0.35">
      <c r="A9" s="10"/>
      <c r="B9" s="7"/>
      <c r="C9" s="7"/>
      <c r="D9" s="7"/>
      <c r="E9" s="7"/>
      <c r="F9" s="7"/>
      <c r="G9" s="10"/>
    </row>
    <row r="10" spans="1:7" ht="40" customHeight="1" x14ac:dyDescent="0.35">
      <c r="A10" s="11"/>
      <c r="B10" s="3"/>
      <c r="C10" s="3"/>
      <c r="D10" s="3"/>
      <c r="E10" s="3"/>
      <c r="F10" s="3"/>
      <c r="G10" s="11"/>
    </row>
    <row r="11" spans="1:7" ht="40" customHeight="1" x14ac:dyDescent="0.35">
      <c r="A11" s="10"/>
      <c r="B11" s="7"/>
      <c r="C11" s="7"/>
      <c r="D11" s="7"/>
      <c r="E11" s="7"/>
      <c r="F11" s="7"/>
      <c r="G11" s="10"/>
    </row>
    <row r="12" spans="1:7" ht="40" customHeight="1" x14ac:dyDescent="0.35">
      <c r="A12" s="11"/>
      <c r="B12" s="3"/>
      <c r="C12" s="3"/>
      <c r="D12" s="3"/>
      <c r="E12" s="3"/>
      <c r="F12" s="3"/>
      <c r="G12" s="11"/>
    </row>
  </sheetData>
  <mergeCells count="2">
    <mergeCell ref="A2:G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Start Here</vt:lpstr>
      <vt:lpstr>Example Bank</vt:lpstr>
      <vt:lpstr>MILES Overview</vt:lpstr>
      <vt:lpstr>Money</vt:lpstr>
      <vt:lpstr>Intellectual</vt:lpstr>
      <vt:lpstr>Location Network Luck</vt:lpstr>
      <vt:lpstr>Expertise</vt:lpstr>
      <vt:lpstr>Status</vt:lpstr>
      <vt:lpstr>Focus Plan</vt:lpstr>
      <vt:lpstr>Mentor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Daffa Ghiffary Kusuma</dc:creator>
  <cp:lastModifiedBy>Daffa Ghiffary Kusuma</cp:lastModifiedBy>
  <dcterms:modified xsi:type="dcterms:W3CDTF">2026-05-09T05:05:53Z</dcterms:modified>
</cp:coreProperties>
</file>