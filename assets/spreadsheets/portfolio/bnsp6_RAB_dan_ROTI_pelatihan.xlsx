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ocuments\[2] Work\Project Mas Dias\BNSP Level 6\Final\"/>
    </mc:Choice>
  </mc:AlternateContent>
  <xr:revisionPtr revIDLastSave="0" documentId="13_ncr:1_{6DA1E520-4259-4EE8-A9B4-273AA35D515C}" xr6:coauthVersionLast="47" xr6:coauthVersionMax="47" xr10:uidLastSave="{00000000-0000-0000-0000-000000000000}"/>
  <bookViews>
    <workbookView xWindow="-110" yWindow="-110" windowWidth="19420" windowHeight="11020" activeTab="1" xr2:uid="{00000000-000D-0000-FFFF-FFFF00000000}"/>
  </bookViews>
  <sheets>
    <sheet name="RAB" sheetId="1" r:id="rId1"/>
    <sheet name="ROT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2" l="1"/>
  <c r="E27" i="2"/>
  <c r="E29" i="2" s="1"/>
  <c r="E30" i="2" s="1"/>
  <c r="E31" i="2" s="1"/>
  <c r="F34" i="1"/>
  <c r="F33" i="1"/>
  <c r="F32" i="1" s="1"/>
  <c r="F31" i="1"/>
  <c r="F30" i="1"/>
  <c r="F29" i="1"/>
  <c r="F27" i="1" s="1"/>
  <c r="F28" i="1"/>
  <c r="F26" i="1"/>
  <c r="F25" i="1"/>
  <c r="F24" i="1"/>
  <c r="F23" i="1" s="1"/>
  <c r="F36" i="1" s="1"/>
  <c r="F22" i="1"/>
  <c r="F21" i="1"/>
  <c r="F20" i="1"/>
  <c r="F19" i="1"/>
  <c r="E32" i="2" l="1"/>
  <c r="F16" i="2" s="1"/>
  <c r="D16" i="2"/>
  <c r="A16" i="2"/>
  <c r="F37" i="1"/>
  <c r="F3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9" authorId="0" shapeId="0" xr:uid="{00000000-0006-0000-0000-000001000000}">
      <text>
        <r>
          <rPr>
            <sz val="11"/>
            <color theme="1"/>
            <rFont val="Calibri"/>
            <family val="2"/>
            <scheme val="minor"/>
          </rPr>
          <t>Sumber internal: MoM dan MoU Eighteen Rekrutmen Asia x Relasi Diri.</t>
        </r>
      </text>
    </comment>
    <comment ref="F36" authorId="0" shapeId="0" xr:uid="{00000000-0006-0000-0000-000002000000}">
      <text>
        <r>
          <rPr>
            <sz val="11"/>
            <color theme="1"/>
            <rFont val="Calibri"/>
            <family val="2"/>
            <scheme val="minor"/>
          </rPr>
          <t>Nilai kerja sama pada MoU: Rp18.750.000,00 sebelum pajak.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21" authorId="0" shapeId="0" xr:uid="{00000000-0006-0000-0100-000001000000}">
      <text>
        <r>
          <rPr>
            <sz val="11"/>
            <color theme="1"/>
            <rFont val="Calibri"/>
            <family val="2"/>
            <scheme val="minor"/>
          </rPr>
          <t>Asumsi model internal untuk simulasi ROTI pelatihan komunikasi kerja batch pertama.</t>
        </r>
      </text>
    </comment>
    <comment ref="E32" authorId="0" shapeId="0" xr:uid="{00000000-0006-0000-0100-000002000000}">
      <text>
        <r>
          <rPr>
            <sz val="11"/>
            <color theme="1"/>
            <rFont val="Calibri"/>
            <family val="2"/>
            <scheme val="minor"/>
          </rPr>
          <t>ROTI = (Net Benefit - Training Cost) / Training Cost</t>
        </r>
      </text>
    </comment>
  </commentList>
</comments>
</file>

<file path=xl/sharedStrings.xml><?xml version="1.0" encoding="utf-8"?>
<sst xmlns="http://schemas.openxmlformats.org/spreadsheetml/2006/main" count="117" uniqueCount="96">
  <si>
    <t>EIGHTEEN REKRUTMEN ASIA</t>
  </si>
  <si>
    <t>Dokumen RAB Pelatihan</t>
  </si>
  <si>
    <t>RAB PELATIHAN CORPORATE</t>
  </si>
  <si>
    <t>Communication Essentials for Work — Eighteen Rekrutmen Asia × Relasi Diri</t>
  </si>
  <si>
    <t>Klien</t>
  </si>
  <si>
    <t>PT Relasi Diri Indonesia</t>
  </si>
  <si>
    <t>Program</t>
  </si>
  <si>
    <t>Communication Essentials for Work</t>
  </si>
  <si>
    <t>Backbone Kompetensi</t>
  </si>
  <si>
    <t>SKKNI N.82ADM00.028.3 — Mengaplikasikan Keterampilan Dasar Komunikasi</t>
  </si>
  <si>
    <t>Metode</t>
  </si>
  <si>
    <t>Daring interaktif</t>
  </si>
  <si>
    <t>Durasi</t>
  </si>
  <si>
    <t>1 hari pelatihan / 6 JP / 270 menit efektif</t>
  </si>
  <si>
    <t>Estimasi Peserta</t>
  </si>
  <si>
    <t>20 peserta (dalam rentang persetujuan awal 18–25 peserta)</t>
  </si>
  <si>
    <t>Target Pelaksanaan</t>
  </si>
  <si>
    <t>7 Mei 2026</t>
  </si>
  <si>
    <t>No</t>
  </si>
  <si>
    <t>Uraian Biaya</t>
  </si>
  <si>
    <t>Biaya Satuan</t>
  </si>
  <si>
    <t>Satuan</t>
  </si>
  <si>
    <t>Qty</t>
  </si>
  <si>
    <t>Jumlah</t>
  </si>
  <si>
    <t>Keterangan</t>
  </si>
  <si>
    <t>I. TRAINER &amp; DESAIN PROGRAM</t>
  </si>
  <si>
    <t>Lead trainer / fasilitator utama</t>
  </si>
  <si>
    <t>Paket</t>
  </si>
  <si>
    <t>Delivery utama 1 hari</t>
  </si>
  <si>
    <t>Co-facilitator / review instructional</t>
  </si>
  <si>
    <t>Review alur sesi dan asesmen</t>
  </si>
  <si>
    <t>Kustomisasi materi &amp; studi kasus</t>
  </si>
  <si>
    <t>Penyesuaian konteks Relasi Diri</t>
  </si>
  <si>
    <t>II. MATERI &amp; ASESMEN</t>
  </si>
  <si>
    <t>Setup pre-test, post-test, dan rubric sederhana</t>
  </si>
  <si>
    <t>Instrumen evaluasi belajar</t>
  </si>
  <si>
    <t>Workbook/worksheet digital peserta</t>
  </si>
  <si>
    <t>Lembar praktik &amp; template kerja</t>
  </si>
  <si>
    <t>E-sertifikat &amp; administrasi peserta</t>
  </si>
  <si>
    <t>Generate sertifikat dan rekap data</t>
  </si>
  <si>
    <t>III. OPERASIONAL PELAKSANAAN</t>
  </si>
  <si>
    <t>Platform meeting / lisensi digital</t>
  </si>
  <si>
    <t>Zoom/meeting platform</t>
  </si>
  <si>
    <t>Operator kelas &amp; dokumentasi kehadiran</t>
  </si>
  <si>
    <t>Absensi dan dukungan teknis</t>
  </si>
  <si>
    <t>Project coordination</t>
  </si>
  <si>
    <t>Koordinasi pra-pelatihan s.d. H pelaksanaan</t>
  </si>
  <si>
    <t>Laporan ringkas &amp; rekomendasi pascapelatihan</t>
  </si>
  <si>
    <t>Post-training memo</t>
  </si>
  <si>
    <t>IV. MANAGEMENT &amp; CONTINGENCY</t>
  </si>
  <si>
    <t>Management fee</t>
  </si>
  <si>
    <t>Supervisi mutu &amp; administrasi kontrak</t>
  </si>
  <si>
    <t>Cadangan risiko/contingency</t>
  </si>
  <si>
    <t>Antisipasi kebutuhan minor tambahan</t>
  </si>
  <si>
    <t>TOTAL NILAI KERJA SAMA (SEBELUM PAJAK)</t>
  </si>
  <si>
    <t>Sesuai MoU</t>
  </si>
  <si>
    <t>PPN 11% (simulasi bila dikenakan)</t>
  </si>
  <si>
    <t>Kontrol opsional</t>
  </si>
  <si>
    <t>TOTAL TAGIHAN (DENGAN PPN)</t>
  </si>
  <si>
    <t>Simulasi billing</t>
  </si>
  <si>
    <t>Catatan: Nilai kerja sama sebelum pajak mengacu pada MoU batch pertama Communication Essentials for Work. Angka peserta dibuat untuk kebutuhan simulasi RAB/ROTI tugas dan dapat disesuaikan saat finalisasi proposal atau invoice.</t>
  </si>
  <si>
    <t>Dokumen Return on Training Investment</t>
  </si>
  <si>
    <t>RETURN ON TRAINING INVESTMENT (ROTI)</t>
  </si>
  <si>
    <t>Simulasi Dampak Pelatihan — Communication Essentials for Work</t>
  </si>
  <si>
    <t>Fokus Dampak</t>
  </si>
  <si>
    <t>Penurunan rework komunikasi, miskomunikasi internal, dan perbaikan kejelasan tindak lanjut</t>
  </si>
  <si>
    <t>Horizon Evaluasi</t>
  </si>
  <si>
    <t>8 bulan pascapelatihan</t>
  </si>
  <si>
    <t>Training Cost</t>
  </si>
  <si>
    <t>Net Benefit</t>
  </si>
  <si>
    <t>ROTI</t>
  </si>
  <si>
    <t>Variabel</t>
  </si>
  <si>
    <t>Input</t>
  </si>
  <si>
    <t>Nilai/Output</t>
  </si>
  <si>
    <t>Jumlah kasus/interaction yang membutuhkan koordinasi per bulan</t>
  </si>
  <si>
    <t>kasus</t>
  </si>
  <si>
    <t>Asumsi volume komunikasi lintas tim/peserta/mitra</t>
  </si>
  <si>
    <t>Tingkat rework/miskomunikasi sebelum pelatihan</t>
  </si>
  <si>
    <t>%</t>
  </si>
  <si>
    <t>Sebelum standardisasi praktik komunikasi</t>
  </si>
  <si>
    <t>Tingkat rework/miskomunikasi setelah pelatihan</t>
  </si>
  <si>
    <t>Setelah active listening, clarity, dan follow-up</t>
  </si>
  <si>
    <t>Biaya rata-rata per kasus rework</t>
  </si>
  <si>
    <t>Rp/kasus</t>
  </si>
  <si>
    <t>Waktu ulang, koreksi pesan, dan follow-up tambahan</t>
  </si>
  <si>
    <t>Horizon evaluasi manfaat</t>
  </si>
  <si>
    <t>bulan</t>
  </si>
  <si>
    <t>Periode manfaat yang dinilai</t>
  </si>
  <si>
    <t>Isolation effect</t>
  </si>
  <si>
    <t>Bagian manfaat yang wajar diatribusi ke pelatihan</t>
  </si>
  <si>
    <t>Biaya rework sebelum pelatihan / bulan</t>
  </si>
  <si>
    <t>Biaya rework setelah pelatihan / bulan</t>
  </si>
  <si>
    <t>Penghematan per bulan</t>
  </si>
  <si>
    <t>Gross benefit selama horizon evaluasi</t>
  </si>
  <si>
    <t>Net benefit setelah isolation effect</t>
  </si>
  <si>
    <t>Interpretasi: ROTI positif menunjukkan manfaat finansial bersih yang diestimasi melebihi biaya pelatihan. Model ini adalah simulasi konservatif untuk tugas akademik dan dapat disesuaikan dengan data operasional aktual Relasi Diri, misalnya volume kasus, biaya rework, horizon evaluasi, dan isolation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</si>
</sst>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p-421]\ #,##0_);[Red]\([$Rp-421]\ #,##0\);\-"/>
    <numFmt numFmtId="165" formatCode="#,##0_);[Red]\(#,##0\);\-"/>
    <numFmt numFmtId="166" formatCode="0.0%;[Red]\(0.0%\);\-"/>
  </numFmts>
  <fonts count="15">
    <font>
      <sz val="11"/>
      <color theme="1"/>
      <name val="Calibri"/>
      <family val="2"/>
      <scheme val="minor"/>
    </font>
    <font>
      <b/>
      <sz val="16"/>
      <color rgb="FF7F7F7F"/>
      <name val="Calibri"/>
    </font>
    <font>
      <i/>
      <sz val="11"/>
      <color rgb="FF7F7F7F"/>
      <name val="Calibri"/>
    </font>
    <font>
      <b/>
      <sz val="16"/>
      <color rgb="FFD91F26"/>
      <name val="Calibri"/>
    </font>
    <font>
      <b/>
      <sz val="12"/>
      <color rgb="FF222222"/>
      <name val="Calibri"/>
    </font>
    <font>
      <b/>
      <sz val="11"/>
      <color rgb="FF666666"/>
      <name val="Calibri"/>
    </font>
    <font>
      <b/>
      <sz val="11"/>
      <color rgb="FFFFFFFF"/>
      <name val="Calibri"/>
    </font>
    <font>
      <b/>
      <sz val="11"/>
      <color rgb="FF222222"/>
      <name val="Calibri"/>
    </font>
    <font>
      <sz val="11"/>
      <color rgb="FF0000FF"/>
      <name val="Calibri"/>
    </font>
    <font>
      <sz val="11"/>
      <color rgb="FF222222"/>
      <name val="Calibri"/>
    </font>
    <font>
      <b/>
      <sz val="11"/>
      <color rgb="FF7030A0"/>
      <name val="Calibri"/>
    </font>
    <font>
      <i/>
      <sz val="11"/>
      <color rgb="FF666666"/>
      <name val="Calibri"/>
    </font>
    <font>
      <b/>
      <sz val="16"/>
      <name val="Calibri"/>
    </font>
    <font>
      <sz val="11"/>
      <name val="Calibri"/>
    </font>
    <font>
      <b/>
      <sz val="11"/>
      <name val="Calibri"/>
    </font>
  </fonts>
  <fills count="10">
    <fill>
      <patternFill patternType="none"/>
    </fill>
    <fill>
      <patternFill patternType="gray125"/>
    </fill>
    <fill>
      <patternFill patternType="solid">
        <fgColor rgb="FFF8F8F8"/>
      </patternFill>
    </fill>
    <fill>
      <patternFill patternType="solid">
        <fgColor rgb="FFD91F26"/>
      </patternFill>
    </fill>
    <fill>
      <patternFill patternType="solid">
        <fgColor rgb="FFFDE9EA"/>
      </patternFill>
    </fill>
    <fill>
      <patternFill patternType="solid">
        <fgColor rgb="FFF2F2FF"/>
      </patternFill>
    </fill>
    <fill>
      <patternFill patternType="solid">
        <fgColor rgb="FFEAF7F7"/>
      </patternFill>
    </fill>
    <fill>
      <patternFill patternType="solid">
        <fgColor rgb="FF008080"/>
      </patternFill>
    </fill>
    <fill>
      <patternFill patternType="solid">
        <fgColor rgb="FFC9A000"/>
      </patternFill>
    </fill>
    <fill>
      <patternFill patternType="solid">
        <fgColor rgb="FFFFF2CC"/>
      </patternFill>
    </fill>
  </fills>
  <borders count="11">
    <border>
      <left/>
      <right/>
      <top/>
      <bottom/>
      <diagonal/>
    </border>
    <border>
      <left/>
      <right/>
      <top/>
      <bottom style="medium">
        <color rgb="FFD91F26"/>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1F26"/>
      </top>
      <bottom style="thin">
        <color rgb="FFD91F26"/>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49">
    <xf numFmtId="0" fontId="0" fillId="0" borderId="0" xfId="0"/>
    <xf numFmtId="0" fontId="0" fillId="0" borderId="1" xfId="0" applyBorder="1"/>
    <xf numFmtId="0" fontId="5" fillId="2" borderId="2" xfId="0" applyFont="1" applyFill="1" applyBorder="1"/>
    <xf numFmtId="0" fontId="0" fillId="0" borderId="2" xfId="0" applyBorder="1" applyAlignment="1">
      <alignment vertical="top" wrapText="1"/>
    </xf>
    <xf numFmtId="0" fontId="0" fillId="0" borderId="2" xfId="0" applyBorder="1"/>
    <xf numFmtId="0" fontId="6" fillId="3" borderId="3" xfId="0" applyFont="1" applyFill="1" applyBorder="1" applyAlignment="1">
      <alignment horizontal="center" vertical="center"/>
    </xf>
    <xf numFmtId="0" fontId="7" fillId="4" borderId="2" xfId="0" applyFont="1" applyFill="1" applyBorder="1"/>
    <xf numFmtId="164" fontId="7" fillId="4" borderId="2" xfId="0" applyNumberFormat="1" applyFont="1" applyFill="1" applyBorder="1" applyAlignment="1">
      <alignment horizontal="right" vertical="center"/>
    </xf>
    <xf numFmtId="0" fontId="0" fillId="0" borderId="2" xfId="0" applyBorder="1" applyAlignment="1">
      <alignment horizontal="center" vertical="top"/>
    </xf>
    <xf numFmtId="164" fontId="8" fillId="0" borderId="2" xfId="0" applyNumberFormat="1" applyFont="1" applyBorder="1" applyAlignment="1">
      <alignment vertical="top" wrapText="1"/>
    </xf>
    <xf numFmtId="165" fontId="8" fillId="0" borderId="2" xfId="0" applyNumberFormat="1" applyFont="1" applyBorder="1" applyAlignment="1">
      <alignment vertical="top" wrapText="1"/>
    </xf>
    <xf numFmtId="164" fontId="9" fillId="0" borderId="2" xfId="0" applyNumberFormat="1" applyFont="1" applyBorder="1" applyAlignment="1">
      <alignment vertical="top" wrapText="1"/>
    </xf>
    <xf numFmtId="0" fontId="6" fillId="3" borderId="2" xfId="0" applyFont="1" applyFill="1" applyBorder="1"/>
    <xf numFmtId="164" fontId="6" fillId="3" borderId="2" xfId="0" applyNumberFormat="1" applyFont="1" applyFill="1" applyBorder="1" applyAlignment="1">
      <alignment horizontal="right"/>
    </xf>
    <xf numFmtId="164" fontId="0" fillId="0" borderId="2" xfId="0" applyNumberFormat="1" applyBorder="1"/>
    <xf numFmtId="0" fontId="6" fillId="3" borderId="3" xfId="0" applyFont="1" applyFill="1" applyBorder="1" applyAlignment="1">
      <alignment horizontal="center"/>
    </xf>
    <xf numFmtId="166" fontId="8" fillId="0" borderId="2" xfId="0" applyNumberFormat="1" applyFont="1" applyBorder="1" applyAlignment="1">
      <alignment vertical="top" wrapText="1"/>
    </xf>
    <xf numFmtId="0" fontId="13" fillId="0" borderId="2" xfId="0" applyFont="1" applyBorder="1" applyAlignment="1">
      <alignment vertical="top" wrapText="1"/>
    </xf>
    <xf numFmtId="164" fontId="0" fillId="0" borderId="2" xfId="0" applyNumberFormat="1" applyBorder="1" applyAlignment="1">
      <alignment vertical="top" wrapText="1"/>
    </xf>
    <xf numFmtId="0" fontId="14" fillId="0" borderId="2" xfId="0" applyFont="1" applyBorder="1" applyAlignment="1">
      <alignment vertical="top" wrapText="1"/>
    </xf>
    <xf numFmtId="166" fontId="0" fillId="0" borderId="2" xfId="0" applyNumberFormat="1" applyBorder="1" applyAlignment="1">
      <alignment vertical="top" wrapText="1"/>
    </xf>
    <xf numFmtId="0" fontId="11" fillId="0" borderId="2" xfId="0" applyFont="1" applyBorder="1" applyAlignment="1">
      <alignment vertical="top" wrapText="1"/>
    </xf>
    <xf numFmtId="0" fontId="0" fillId="0" borderId="2" xfId="0" applyBorder="1"/>
    <xf numFmtId="0" fontId="7" fillId="4" borderId="2" xfId="0" applyFont="1" applyFill="1" applyBorder="1"/>
    <xf numFmtId="0" fontId="7" fillId="6" borderId="2" xfId="0" applyFont="1" applyFill="1" applyBorder="1"/>
    <xf numFmtId="0" fontId="0" fillId="0" borderId="2" xfId="0" applyBorder="1" applyAlignment="1">
      <alignment vertical="top" wrapText="1"/>
    </xf>
    <xf numFmtId="0" fontId="0" fillId="0" borderId="0" xfId="0"/>
    <xf numFmtId="0" fontId="10" fillId="5" borderId="2" xfId="0" applyFont="1" applyFill="1" applyBorder="1"/>
    <xf numFmtId="0" fontId="3" fillId="0" borderId="0" xfId="0" applyFont="1" applyAlignment="1">
      <alignment horizontal="center"/>
    </xf>
    <xf numFmtId="0" fontId="4" fillId="0" borderId="0" xfId="0" applyFont="1" applyAlignment="1">
      <alignment horizontal="center"/>
    </xf>
    <xf numFmtId="0" fontId="6" fillId="3" borderId="2" xfId="0" applyFont="1" applyFill="1" applyBorder="1" applyAlignment="1">
      <alignment horizontal="left"/>
    </xf>
    <xf numFmtId="0" fontId="6" fillId="3" borderId="2" xfId="0" applyFont="1" applyFill="1" applyBorder="1"/>
    <xf numFmtId="0" fontId="3" fillId="0" borderId="0" xfId="0" applyFont="1" applyAlignment="1">
      <alignment horizontal="left"/>
    </xf>
    <xf numFmtId="0" fontId="0" fillId="0" borderId="0" xfId="0" applyAlignment="1">
      <alignment horizontal="left"/>
    </xf>
    <xf numFmtId="0" fontId="2" fillId="0" borderId="0" xfId="0" applyFont="1" applyAlignment="1">
      <alignment horizontal="left" vertical="center"/>
    </xf>
    <xf numFmtId="0" fontId="1" fillId="0" borderId="0" xfId="0" applyFont="1" applyAlignment="1">
      <alignment horizontal="left" vertical="center"/>
    </xf>
    <xf numFmtId="164" fontId="12" fillId="6" borderId="2" xfId="0" applyNumberFormat="1" applyFont="1" applyFill="1" applyBorder="1" applyAlignment="1">
      <alignment horizontal="center" vertical="center"/>
    </xf>
    <xf numFmtId="0" fontId="0" fillId="0" borderId="4" xfId="0" applyBorder="1"/>
    <xf numFmtId="0" fontId="0" fillId="0" borderId="5" xfId="0" applyBorder="1"/>
    <xf numFmtId="0" fontId="0" fillId="0" borderId="8" xfId="0" applyBorder="1"/>
    <xf numFmtId="0" fontId="0" fillId="0" borderId="9" xfId="0" applyBorder="1"/>
    <xf numFmtId="0" fontId="0" fillId="0" borderId="10" xfId="0" applyBorder="1"/>
    <xf numFmtId="164" fontId="12" fillId="4" borderId="2" xfId="0" applyNumberFormat="1" applyFont="1" applyFill="1" applyBorder="1" applyAlignment="1">
      <alignment horizontal="center" vertical="center"/>
    </xf>
    <xf numFmtId="0" fontId="6" fillId="8" borderId="2" xfId="0" applyFont="1" applyFill="1" applyBorder="1" applyAlignment="1">
      <alignment horizontal="center"/>
    </xf>
    <xf numFmtId="0" fontId="0" fillId="0" borderId="7" xfId="0" applyBorder="1"/>
    <xf numFmtId="0" fontId="6" fillId="3" borderId="2" xfId="0" applyFont="1" applyFill="1" applyBorder="1" applyAlignment="1">
      <alignment horizontal="center"/>
    </xf>
    <xf numFmtId="166" fontId="12" fillId="9" borderId="2" xfId="0" applyNumberFormat="1" applyFont="1" applyFill="1" applyBorder="1" applyAlignment="1">
      <alignment horizontal="center" vertical="center"/>
    </xf>
    <xf numFmtId="0" fontId="6" fillId="7" borderId="2" xfId="0" applyFont="1" applyFill="1" applyBorder="1" applyAlignment="1">
      <alignment horizontal="center"/>
    </xf>
    <xf numFmtId="0" fontId="0" fillId="0" borderId="6"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71500" cy="571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71500" cy="5715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showGridLines="0" workbookViewId="0">
      <pane ySplit="7" topLeftCell="A18" activePane="bottomLeft" state="frozen"/>
      <selection pane="bottomLeft" activeCell="B9" sqref="B9:F9"/>
    </sheetView>
  </sheetViews>
  <sheetFormatPr defaultRowHeight="14.5"/>
  <cols>
    <col min="1" max="1" width="19.36328125" customWidth="1"/>
    <col min="2" max="2" width="38" customWidth="1"/>
    <col min="3" max="3" width="16" customWidth="1"/>
    <col min="4" max="4" width="12" customWidth="1"/>
    <col min="5" max="5" width="10" customWidth="1"/>
    <col min="6" max="6" width="18" customWidth="1"/>
    <col min="7" max="7" width="30" customWidth="1"/>
  </cols>
  <sheetData>
    <row r="1" spans="1:7" ht="21">
      <c r="B1" s="32" t="s">
        <v>0</v>
      </c>
      <c r="C1" s="33"/>
      <c r="D1" s="33"/>
      <c r="E1" s="33"/>
      <c r="F1" s="33"/>
      <c r="G1" s="33"/>
    </row>
    <row r="2" spans="1:7">
      <c r="B2" s="34" t="s">
        <v>1</v>
      </c>
      <c r="C2" s="34"/>
      <c r="D2" s="34"/>
      <c r="E2" s="34"/>
      <c r="F2" s="34"/>
      <c r="G2" s="34"/>
    </row>
    <row r="4" spans="1:7" ht="6" customHeight="1">
      <c r="A4" s="1"/>
      <c r="B4" s="1"/>
      <c r="C4" s="1"/>
      <c r="D4" s="1"/>
      <c r="E4" s="1"/>
      <c r="F4" s="1"/>
      <c r="G4" s="1"/>
    </row>
    <row r="6" spans="1:7" ht="21">
      <c r="A6" s="28" t="s">
        <v>2</v>
      </c>
      <c r="B6" s="26"/>
      <c r="C6" s="26"/>
      <c r="D6" s="26"/>
      <c r="E6" s="26"/>
      <c r="F6" s="26"/>
      <c r="G6" s="26"/>
    </row>
    <row r="7" spans="1:7" ht="15.5">
      <c r="A7" s="29" t="s">
        <v>3</v>
      </c>
      <c r="B7" s="26"/>
      <c r="C7" s="26"/>
      <c r="D7" s="26"/>
      <c r="E7" s="26"/>
      <c r="F7" s="26"/>
      <c r="G7" s="26"/>
    </row>
    <row r="9" spans="1:7">
      <c r="A9" s="2" t="s">
        <v>4</v>
      </c>
      <c r="B9" s="25" t="s">
        <v>5</v>
      </c>
      <c r="C9" s="26"/>
      <c r="D9" s="26"/>
      <c r="E9" s="26"/>
      <c r="F9" s="26"/>
      <c r="G9" s="4"/>
    </row>
    <row r="10" spans="1:7">
      <c r="A10" s="2" t="s">
        <v>6</v>
      </c>
      <c r="B10" s="25" t="s">
        <v>7</v>
      </c>
      <c r="C10" s="26"/>
      <c r="D10" s="26"/>
      <c r="E10" s="26"/>
      <c r="F10" s="26"/>
      <c r="G10" s="4"/>
    </row>
    <row r="11" spans="1:7">
      <c r="A11" s="2" t="s">
        <v>8</v>
      </c>
      <c r="B11" s="25" t="s">
        <v>9</v>
      </c>
      <c r="C11" s="26"/>
      <c r="D11" s="26"/>
      <c r="E11" s="26"/>
      <c r="F11" s="26"/>
      <c r="G11" s="4"/>
    </row>
    <row r="12" spans="1:7">
      <c r="A12" s="2" t="s">
        <v>10</v>
      </c>
      <c r="B12" s="25" t="s">
        <v>11</v>
      </c>
      <c r="C12" s="26"/>
      <c r="D12" s="26"/>
      <c r="E12" s="26"/>
      <c r="F12" s="26"/>
      <c r="G12" s="4"/>
    </row>
    <row r="13" spans="1:7">
      <c r="A13" s="2" t="s">
        <v>12</v>
      </c>
      <c r="B13" s="25" t="s">
        <v>13</v>
      </c>
      <c r="C13" s="26"/>
      <c r="D13" s="26"/>
      <c r="E13" s="26"/>
      <c r="F13" s="26"/>
      <c r="G13" s="4"/>
    </row>
    <row r="14" spans="1:7">
      <c r="A14" s="2" t="s">
        <v>14</v>
      </c>
      <c r="B14" s="25" t="s">
        <v>15</v>
      </c>
      <c r="C14" s="26"/>
      <c r="D14" s="26"/>
      <c r="E14" s="26"/>
      <c r="F14" s="26"/>
      <c r="G14" s="4"/>
    </row>
    <row r="15" spans="1:7">
      <c r="A15" s="2" t="s">
        <v>16</v>
      </c>
      <c r="B15" s="25" t="s">
        <v>17</v>
      </c>
      <c r="C15" s="26"/>
      <c r="D15" s="26"/>
      <c r="E15" s="26"/>
      <c r="F15" s="26"/>
      <c r="G15" s="4"/>
    </row>
    <row r="18" spans="1:7">
      <c r="A18" s="5" t="s">
        <v>18</v>
      </c>
      <c r="B18" s="5" t="s">
        <v>19</v>
      </c>
      <c r="C18" s="5" t="s">
        <v>20</v>
      </c>
      <c r="D18" s="5" t="s">
        <v>21</v>
      </c>
      <c r="E18" s="5" t="s">
        <v>22</v>
      </c>
      <c r="F18" s="5" t="s">
        <v>23</v>
      </c>
      <c r="G18" s="5" t="s">
        <v>24</v>
      </c>
    </row>
    <row r="19" spans="1:7">
      <c r="A19" s="6"/>
      <c r="B19" s="23" t="s">
        <v>25</v>
      </c>
      <c r="C19" s="23"/>
      <c r="D19" s="23"/>
      <c r="E19" s="23"/>
      <c r="F19" s="7">
        <f>F20+F21+F22</f>
        <v>8750000</v>
      </c>
      <c r="G19" s="6"/>
    </row>
    <row r="20" spans="1:7">
      <c r="A20" s="8">
        <v>1</v>
      </c>
      <c r="B20" s="3" t="s">
        <v>26</v>
      </c>
      <c r="C20" s="9">
        <v>5500000</v>
      </c>
      <c r="D20" s="3" t="s">
        <v>27</v>
      </c>
      <c r="E20" s="10">
        <v>1</v>
      </c>
      <c r="F20" s="11">
        <f>C20*E20</f>
        <v>5500000</v>
      </c>
      <c r="G20" s="3" t="s">
        <v>28</v>
      </c>
    </row>
    <row r="21" spans="1:7">
      <c r="A21" s="8">
        <v>2</v>
      </c>
      <c r="B21" s="3" t="s">
        <v>29</v>
      </c>
      <c r="C21" s="9">
        <v>2000000</v>
      </c>
      <c r="D21" s="3" t="s">
        <v>27</v>
      </c>
      <c r="E21" s="10">
        <v>1</v>
      </c>
      <c r="F21" s="11">
        <f>C21*E21</f>
        <v>2000000</v>
      </c>
      <c r="G21" s="3" t="s">
        <v>30</v>
      </c>
    </row>
    <row r="22" spans="1:7">
      <c r="A22" s="8">
        <v>3</v>
      </c>
      <c r="B22" s="3" t="s">
        <v>31</v>
      </c>
      <c r="C22" s="9">
        <v>1250000</v>
      </c>
      <c r="D22" s="3" t="s">
        <v>27</v>
      </c>
      <c r="E22" s="10">
        <v>1</v>
      </c>
      <c r="F22" s="11">
        <f>C22*E22</f>
        <v>1250000</v>
      </c>
      <c r="G22" s="3" t="s">
        <v>32</v>
      </c>
    </row>
    <row r="23" spans="1:7">
      <c r="A23" s="6"/>
      <c r="B23" s="23" t="s">
        <v>33</v>
      </c>
      <c r="C23" s="23"/>
      <c r="D23" s="23"/>
      <c r="E23" s="23"/>
      <c r="F23" s="7">
        <f>F24+F25+F26</f>
        <v>2800000</v>
      </c>
      <c r="G23" s="6"/>
    </row>
    <row r="24" spans="1:7" ht="29">
      <c r="A24" s="8">
        <v>1</v>
      </c>
      <c r="B24" s="3" t="s">
        <v>34</v>
      </c>
      <c r="C24" s="9">
        <v>750000</v>
      </c>
      <c r="D24" s="3" t="s">
        <v>27</v>
      </c>
      <c r="E24" s="10">
        <v>1</v>
      </c>
      <c r="F24" s="11">
        <f>C24*E24</f>
        <v>750000</v>
      </c>
      <c r="G24" s="3" t="s">
        <v>35</v>
      </c>
    </row>
    <row r="25" spans="1:7">
      <c r="A25" s="8">
        <v>2</v>
      </c>
      <c r="B25" s="3" t="s">
        <v>36</v>
      </c>
      <c r="C25" s="9">
        <v>1250000</v>
      </c>
      <c r="D25" s="3" t="s">
        <v>27</v>
      </c>
      <c r="E25" s="10">
        <v>1</v>
      </c>
      <c r="F25" s="11">
        <f>C25*E25</f>
        <v>1250000</v>
      </c>
      <c r="G25" s="3" t="s">
        <v>37</v>
      </c>
    </row>
    <row r="26" spans="1:7">
      <c r="A26" s="8">
        <v>3</v>
      </c>
      <c r="B26" s="3" t="s">
        <v>38</v>
      </c>
      <c r="C26" s="9">
        <v>800000</v>
      </c>
      <c r="D26" s="3" t="s">
        <v>27</v>
      </c>
      <c r="E26" s="10">
        <v>1</v>
      </c>
      <c r="F26" s="11">
        <f>C26*E26</f>
        <v>800000</v>
      </c>
      <c r="G26" s="3" t="s">
        <v>39</v>
      </c>
    </row>
    <row r="27" spans="1:7">
      <c r="A27" s="6"/>
      <c r="B27" s="23" t="s">
        <v>40</v>
      </c>
      <c r="C27" s="23"/>
      <c r="D27" s="23"/>
      <c r="E27" s="23"/>
      <c r="F27" s="7">
        <f>F28+F29+F30+F31</f>
        <v>3700000</v>
      </c>
      <c r="G27" s="6"/>
    </row>
    <row r="28" spans="1:7">
      <c r="A28" s="8">
        <v>1</v>
      </c>
      <c r="B28" s="3" t="s">
        <v>41</v>
      </c>
      <c r="C28" s="9">
        <v>250000</v>
      </c>
      <c r="D28" s="3" t="s">
        <v>27</v>
      </c>
      <c r="E28" s="10">
        <v>1</v>
      </c>
      <c r="F28" s="11">
        <f>C28*E28</f>
        <v>250000</v>
      </c>
      <c r="G28" s="3" t="s">
        <v>42</v>
      </c>
    </row>
    <row r="29" spans="1:7">
      <c r="A29" s="8">
        <v>2</v>
      </c>
      <c r="B29" s="3" t="s">
        <v>43</v>
      </c>
      <c r="C29" s="9">
        <v>1000000</v>
      </c>
      <c r="D29" s="3" t="s">
        <v>27</v>
      </c>
      <c r="E29" s="10">
        <v>1</v>
      </c>
      <c r="F29" s="11">
        <f>C29*E29</f>
        <v>1000000</v>
      </c>
      <c r="G29" s="3" t="s">
        <v>44</v>
      </c>
    </row>
    <row r="30" spans="1:7" ht="29">
      <c r="A30" s="8">
        <v>3</v>
      </c>
      <c r="B30" s="3" t="s">
        <v>45</v>
      </c>
      <c r="C30" s="9">
        <v>1450000</v>
      </c>
      <c r="D30" s="3" t="s">
        <v>27</v>
      </c>
      <c r="E30" s="10">
        <v>1</v>
      </c>
      <c r="F30" s="11">
        <f>C30*E30</f>
        <v>1450000</v>
      </c>
      <c r="G30" s="3" t="s">
        <v>46</v>
      </c>
    </row>
    <row r="31" spans="1:7" ht="29">
      <c r="A31" s="8">
        <v>4</v>
      </c>
      <c r="B31" s="3" t="s">
        <v>47</v>
      </c>
      <c r="C31" s="9">
        <v>1000000</v>
      </c>
      <c r="D31" s="3" t="s">
        <v>27</v>
      </c>
      <c r="E31" s="10">
        <v>1</v>
      </c>
      <c r="F31" s="11">
        <f>C31*E31</f>
        <v>1000000</v>
      </c>
      <c r="G31" s="3" t="s">
        <v>48</v>
      </c>
    </row>
    <row r="32" spans="1:7">
      <c r="A32" s="6"/>
      <c r="B32" s="23" t="s">
        <v>49</v>
      </c>
      <c r="C32" s="23"/>
      <c r="D32" s="23"/>
      <c r="E32" s="23"/>
      <c r="F32" s="7">
        <f>F33+F34</f>
        <v>3500000</v>
      </c>
      <c r="G32" s="6"/>
    </row>
    <row r="33" spans="1:7" ht="29">
      <c r="A33" s="8">
        <v>1</v>
      </c>
      <c r="B33" s="3" t="s">
        <v>50</v>
      </c>
      <c r="C33" s="9">
        <v>2500000</v>
      </c>
      <c r="D33" s="3" t="s">
        <v>27</v>
      </c>
      <c r="E33" s="10">
        <v>1</v>
      </c>
      <c r="F33" s="11">
        <f>C33*E33</f>
        <v>2500000</v>
      </c>
      <c r="G33" s="3" t="s">
        <v>51</v>
      </c>
    </row>
    <row r="34" spans="1:7" ht="29">
      <c r="A34" s="8">
        <v>2</v>
      </c>
      <c r="B34" s="3" t="s">
        <v>52</v>
      </c>
      <c r="C34" s="9">
        <v>1000000</v>
      </c>
      <c r="D34" s="3" t="s">
        <v>27</v>
      </c>
      <c r="E34" s="10">
        <v>1</v>
      </c>
      <c r="F34" s="11">
        <f>C34*E34</f>
        <v>1000000</v>
      </c>
      <c r="G34" s="3" t="s">
        <v>53</v>
      </c>
    </row>
    <row r="36" spans="1:7">
      <c r="A36" s="30" t="s">
        <v>54</v>
      </c>
      <c r="B36" s="31"/>
      <c r="C36" s="31"/>
      <c r="D36" s="31"/>
      <c r="E36" s="31"/>
      <c r="F36" s="13">
        <f>SUM(F19,F23,F27,F32)</f>
        <v>18750000</v>
      </c>
      <c r="G36" s="12" t="s">
        <v>55</v>
      </c>
    </row>
    <row r="37" spans="1:7">
      <c r="A37" s="27" t="s">
        <v>56</v>
      </c>
      <c r="B37" s="22"/>
      <c r="C37" s="22"/>
      <c r="D37" s="22"/>
      <c r="E37" s="22"/>
      <c r="F37" s="14">
        <f>F36*11%</f>
        <v>2062500</v>
      </c>
      <c r="G37" s="4" t="s">
        <v>57</v>
      </c>
    </row>
    <row r="38" spans="1:7">
      <c r="A38" s="24" t="s">
        <v>58</v>
      </c>
      <c r="B38" s="22"/>
      <c r="C38" s="22"/>
      <c r="D38" s="22"/>
      <c r="E38" s="22"/>
      <c r="F38" s="14">
        <f>F36+F37</f>
        <v>20812500</v>
      </c>
      <c r="G38" s="4" t="s">
        <v>59</v>
      </c>
    </row>
    <row r="41" spans="1:7">
      <c r="A41" s="21" t="s">
        <v>60</v>
      </c>
      <c r="B41" s="22"/>
      <c r="C41" s="22"/>
      <c r="D41" s="22"/>
      <c r="E41" s="22"/>
      <c r="F41" s="22"/>
      <c r="G41" s="22"/>
    </row>
    <row r="42" spans="1:7">
      <c r="A42" s="22"/>
      <c r="B42" s="22"/>
      <c r="C42" s="22"/>
      <c r="D42" s="22"/>
      <c r="E42" s="22"/>
      <c r="F42" s="22"/>
      <c r="G42" s="22"/>
    </row>
    <row r="43" spans="1:7">
      <c r="A43" s="22"/>
      <c r="B43" s="22"/>
      <c r="C43" s="22"/>
      <c r="D43" s="22"/>
      <c r="E43" s="22"/>
      <c r="F43" s="22"/>
      <c r="G43" s="22"/>
    </row>
  </sheetData>
  <mergeCells count="19">
    <mergeCell ref="B1:G1"/>
    <mergeCell ref="B2:G2"/>
    <mergeCell ref="B14:F14"/>
    <mergeCell ref="B13:F13"/>
    <mergeCell ref="B27:E27"/>
    <mergeCell ref="A6:G6"/>
    <mergeCell ref="B10:F10"/>
    <mergeCell ref="A7:G7"/>
    <mergeCell ref="B9:F9"/>
    <mergeCell ref="B12:F12"/>
    <mergeCell ref="B11:F11"/>
    <mergeCell ref="A41:G43"/>
    <mergeCell ref="B23:E23"/>
    <mergeCell ref="A38:E38"/>
    <mergeCell ref="B15:F15"/>
    <mergeCell ref="B19:E19"/>
    <mergeCell ref="A37:E37"/>
    <mergeCell ref="A36:E36"/>
    <mergeCell ref="B32:E32"/>
  </mergeCells>
  <pageMargins left="0.35" right="0.35" top="0.5" bottom="0.5" header="0.2" footer="0.2"/>
  <pageSetup fitToHeight="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
  <sheetViews>
    <sheetView showGridLines="0" tabSelected="1" workbookViewId="0">
      <pane ySplit="7" topLeftCell="A33" activePane="bottomLeft" state="frozen"/>
      <selection pane="bottomLeft" activeCell="A35" sqref="A35:G38"/>
    </sheetView>
  </sheetViews>
  <sheetFormatPr defaultRowHeight="14.5"/>
  <cols>
    <col min="1" max="1" width="15.6328125" customWidth="1"/>
    <col min="2" max="2" width="38" customWidth="1"/>
    <col min="3" max="3" width="16" customWidth="1"/>
    <col min="4" max="4" width="27" customWidth="1"/>
    <col min="5" max="5" width="14.90625" customWidth="1"/>
    <col min="6" max="6" width="18" customWidth="1"/>
    <col min="7" max="7" width="30" customWidth="1"/>
  </cols>
  <sheetData>
    <row r="1" spans="1:7" ht="21">
      <c r="C1" s="35" t="s">
        <v>0</v>
      </c>
      <c r="D1" s="26"/>
      <c r="E1" s="26"/>
      <c r="F1" s="26"/>
      <c r="G1" s="26"/>
    </row>
    <row r="2" spans="1:7">
      <c r="C2" s="34" t="s">
        <v>61</v>
      </c>
      <c r="D2" s="26"/>
      <c r="E2" s="26"/>
      <c r="F2" s="26"/>
      <c r="G2" s="26"/>
    </row>
    <row r="4" spans="1:7" ht="6" customHeight="1">
      <c r="A4" s="1"/>
      <c r="B4" s="1"/>
      <c r="C4" s="1"/>
      <c r="D4" s="1"/>
      <c r="E4" s="1"/>
      <c r="F4" s="1"/>
      <c r="G4" s="1"/>
    </row>
    <row r="6" spans="1:7" ht="21">
      <c r="A6" s="28" t="s">
        <v>62</v>
      </c>
      <c r="B6" s="26"/>
      <c r="C6" s="26"/>
      <c r="D6" s="26"/>
      <c r="E6" s="26"/>
      <c r="F6" s="26"/>
      <c r="G6" s="26"/>
    </row>
    <row r="7" spans="1:7" ht="15.5">
      <c r="A7" s="29" t="s">
        <v>63</v>
      </c>
      <c r="B7" s="26"/>
      <c r="C7" s="26"/>
      <c r="D7" s="26"/>
      <c r="E7" s="26"/>
      <c r="F7" s="26"/>
      <c r="G7" s="26"/>
    </row>
    <row r="9" spans="1:7">
      <c r="A9" s="2" t="s">
        <v>4</v>
      </c>
      <c r="B9" s="25" t="s">
        <v>5</v>
      </c>
      <c r="C9" s="26"/>
      <c r="D9" s="26"/>
      <c r="E9" s="26"/>
      <c r="F9" s="26"/>
      <c r="G9" s="4"/>
    </row>
    <row r="10" spans="1:7">
      <c r="A10" s="2" t="s">
        <v>6</v>
      </c>
      <c r="B10" s="25" t="s">
        <v>7</v>
      </c>
      <c r="C10" s="26"/>
      <c r="D10" s="26"/>
      <c r="E10" s="26"/>
      <c r="F10" s="26"/>
      <c r="G10" s="4"/>
    </row>
    <row r="11" spans="1:7">
      <c r="A11" s="2" t="s">
        <v>64</v>
      </c>
      <c r="B11" s="25" t="s">
        <v>65</v>
      </c>
      <c r="C11" s="26"/>
      <c r="D11" s="26"/>
      <c r="E11" s="26"/>
      <c r="F11" s="26"/>
      <c r="G11" s="4"/>
    </row>
    <row r="12" spans="1:7">
      <c r="A12" s="2" t="s">
        <v>66</v>
      </c>
      <c r="B12" s="25" t="s">
        <v>67</v>
      </c>
      <c r="C12" s="26"/>
      <c r="D12" s="26"/>
      <c r="E12" s="26"/>
      <c r="F12" s="26"/>
      <c r="G12" s="4"/>
    </row>
    <row r="15" spans="1:7">
      <c r="A15" s="47" t="s">
        <v>68</v>
      </c>
      <c r="B15" s="48"/>
      <c r="C15" s="44"/>
      <c r="D15" s="45" t="s">
        <v>69</v>
      </c>
      <c r="E15" s="44"/>
      <c r="F15" s="43" t="s">
        <v>70</v>
      </c>
      <c r="G15" s="44"/>
    </row>
    <row r="16" spans="1:7">
      <c r="A16" s="36">
        <f>RAB!F36</f>
        <v>18750000</v>
      </c>
      <c r="B16" s="37"/>
      <c r="C16" s="38"/>
      <c r="D16" s="42">
        <f>E31</f>
        <v>24570000</v>
      </c>
      <c r="E16" s="38"/>
      <c r="F16" s="46">
        <f>E32</f>
        <v>0.31040000000000001</v>
      </c>
      <c r="G16" s="38"/>
    </row>
    <row r="17" spans="1:7">
      <c r="A17" s="39"/>
      <c r="B17" s="40"/>
      <c r="C17" s="41"/>
      <c r="D17" s="39"/>
      <c r="E17" s="41"/>
      <c r="F17" s="39"/>
      <c r="G17" s="41"/>
    </row>
    <row r="20" spans="1:7">
      <c r="A20" s="15" t="s">
        <v>71</v>
      </c>
      <c r="B20" s="15" t="s">
        <v>72</v>
      </c>
      <c r="C20" s="15" t="s">
        <v>21</v>
      </c>
      <c r="D20" s="15" t="s">
        <v>24</v>
      </c>
      <c r="E20" s="15" t="s">
        <v>73</v>
      </c>
    </row>
    <row r="21" spans="1:7" ht="188.5">
      <c r="A21" s="3" t="s">
        <v>74</v>
      </c>
      <c r="B21" s="10">
        <v>650</v>
      </c>
      <c r="C21" s="3" t="s">
        <v>75</v>
      </c>
      <c r="D21" s="3" t="s">
        <v>76</v>
      </c>
    </row>
    <row r="22" spans="1:7" ht="145">
      <c r="A22" s="3" t="s">
        <v>77</v>
      </c>
      <c r="B22" s="16">
        <v>0.16</v>
      </c>
      <c r="C22" s="3" t="s">
        <v>78</v>
      </c>
      <c r="D22" s="3" t="s">
        <v>79</v>
      </c>
    </row>
    <row r="23" spans="1:7" ht="145">
      <c r="A23" s="3" t="s">
        <v>80</v>
      </c>
      <c r="B23" s="16">
        <v>0.09</v>
      </c>
      <c r="C23" s="3" t="s">
        <v>78</v>
      </c>
      <c r="D23" s="3" t="s">
        <v>81</v>
      </c>
    </row>
    <row r="24" spans="1:7" ht="101.5">
      <c r="A24" s="3" t="s">
        <v>82</v>
      </c>
      <c r="B24" s="9">
        <v>90000</v>
      </c>
      <c r="C24" s="3" t="s">
        <v>83</v>
      </c>
      <c r="D24" s="3" t="s">
        <v>84</v>
      </c>
    </row>
    <row r="25" spans="1:7" ht="87">
      <c r="A25" s="3" t="s">
        <v>85</v>
      </c>
      <c r="B25" s="10">
        <v>8</v>
      </c>
      <c r="C25" s="3" t="s">
        <v>86</v>
      </c>
      <c r="D25" s="3" t="s">
        <v>87</v>
      </c>
    </row>
    <row r="26" spans="1:7" ht="72.5">
      <c r="A26" s="3" t="s">
        <v>88</v>
      </c>
      <c r="B26" s="16">
        <v>0.75</v>
      </c>
      <c r="C26" s="3" t="s">
        <v>78</v>
      </c>
      <c r="D26" s="3" t="s">
        <v>89</v>
      </c>
    </row>
    <row r="27" spans="1:7" ht="58">
      <c r="D27" s="17" t="s">
        <v>90</v>
      </c>
      <c r="E27" s="18">
        <f>B21*B22*B24</f>
        <v>9360000</v>
      </c>
    </row>
    <row r="28" spans="1:7" ht="58">
      <c r="D28" s="17" t="s">
        <v>91</v>
      </c>
      <c r="E28" s="18">
        <f>B21*B23*B24</f>
        <v>5265000</v>
      </c>
    </row>
    <row r="29" spans="1:7" ht="29">
      <c r="D29" s="19" t="s">
        <v>92</v>
      </c>
      <c r="E29" s="18">
        <f>E27-E28</f>
        <v>4095000</v>
      </c>
    </row>
    <row r="30" spans="1:7" ht="58">
      <c r="D30" s="19" t="s">
        <v>93</v>
      </c>
      <c r="E30" s="18">
        <f>E29*B25</f>
        <v>32760000</v>
      </c>
    </row>
    <row r="31" spans="1:7" ht="58">
      <c r="D31" s="19" t="s">
        <v>94</v>
      </c>
      <c r="E31" s="18">
        <f>E30*B26</f>
        <v>24570000</v>
      </c>
    </row>
    <row r="32" spans="1:7">
      <c r="D32" s="19" t="s">
        <v>70</v>
      </c>
      <c r="E32" s="20">
        <f>(E31-RAB!F36)/RAB!F36</f>
        <v>0.31040000000000001</v>
      </c>
    </row>
    <row r="35" spans="1:7">
      <c r="A35" s="21" t="s">
        <v>95</v>
      </c>
      <c r="B35" s="22"/>
      <c r="C35" s="22"/>
      <c r="D35" s="22"/>
      <c r="E35" s="22"/>
      <c r="F35" s="22"/>
      <c r="G35" s="22"/>
    </row>
    <row r="36" spans="1:7">
      <c r="A36" s="22"/>
      <c r="B36" s="22"/>
      <c r="C36" s="22"/>
      <c r="D36" s="22"/>
      <c r="E36" s="22"/>
      <c r="F36" s="22"/>
      <c r="G36" s="22"/>
    </row>
    <row r="37" spans="1:7">
      <c r="A37" s="22"/>
      <c r="B37" s="22"/>
      <c r="C37" s="22"/>
      <c r="D37" s="22"/>
      <c r="E37" s="22"/>
      <c r="F37" s="22"/>
      <c r="G37" s="22"/>
    </row>
    <row r="38" spans="1:7">
      <c r="A38" s="22"/>
      <c r="B38" s="22"/>
      <c r="C38" s="22"/>
      <c r="D38" s="22"/>
      <c r="E38" s="22"/>
      <c r="F38" s="22"/>
      <c r="G38" s="22"/>
    </row>
  </sheetData>
  <mergeCells count="15">
    <mergeCell ref="A35:G38"/>
    <mergeCell ref="B9:F9"/>
    <mergeCell ref="A6:G6"/>
    <mergeCell ref="C2:G2"/>
    <mergeCell ref="C1:G1"/>
    <mergeCell ref="B10:F10"/>
    <mergeCell ref="B11:F11"/>
    <mergeCell ref="A7:G7"/>
    <mergeCell ref="A16:C17"/>
    <mergeCell ref="B12:F12"/>
    <mergeCell ref="D16:E17"/>
    <mergeCell ref="F15:G15"/>
    <mergeCell ref="D15:E15"/>
    <mergeCell ref="F16:G17"/>
    <mergeCell ref="A15:C15"/>
  </mergeCells>
  <pageMargins left="0.35" right="0.35" top="0.5" bottom="0.5" header="0.2" footer="0.2"/>
  <pageSetup fitToHeight="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RAB</vt:lpstr>
      <vt:lpstr>ROTI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Daffa Ghiffary Kusuma</dc:creator>
  <cp:lastModifiedBy>Daffa Ghiffary Kusuma</cp:lastModifiedBy>
  <dcterms:created xsi:type="dcterms:W3CDTF">2026-04-19T07:02:27Z</dcterms:created>
  <dcterms:modified xsi:type="dcterms:W3CDTF">2026-04-19T07:30:25Z</dcterms:modified>
</cp:coreProperties>
</file>