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b8903763b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Soal" sheetId="1" r:id="Rce7dbce492384c00"/>
    <x:sheet xmlns:r="http://schemas.openxmlformats.org/officeDocument/2006/relationships" name="Form Evaluasi" sheetId="2" r:id="Rdc47d7f363004d06"/>
    <x:sheet xmlns:r="http://schemas.openxmlformats.org/officeDocument/2006/relationships" name="Analisa" sheetId="3" r:id="Ree9bace669cd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%"/>
    <x:numFmt numFmtId="165" formatCode="0.0%;[Red](0.0%)"/>
  </x:numFmts>
  <x:fonts count="16">
    <x:font>
      <x:sz val="11"/>
      <x:color theme="1"/>
      <x:name val="Calibri"/>
      <x:family val="2"/>
      <x:scheme val="minor"/>
    </x:font>
    <x:font>
      <x:b/>
      <x:sz val="15"/>
      <x:color rgb="00666666"/>
    </x:font>
    <x:font>
      <x:i/>
      <x:sz val="10"/>
      <x:color rgb="00999999"/>
    </x:font>
    <x:font>
      <x:b/>
      <x:sz val="15"/>
      <x:color rgb="00D91F26"/>
    </x:font>
    <x:font>
      <x:b/>
      <x:sz val="11"/>
      <x:color rgb="00222222"/>
    </x:font>
    <x:font>
      <x:color rgb="00222222"/>
    </x:font>
    <x:font>
      <x:color rgb="000000FF"/>
    </x:font>
    <x:font>
      <x:b/>
      <x:color rgb="00222222"/>
    </x:font>
    <x:font>
      <x:i/>
      <x:color rgb="00C2410C"/>
    </x:font>
    <x:font>
      <x:b/>
      <x:color rgb="00FFFFFF"/>
    </x:font>
    <x:font>
      <x:color rgb="00666666"/>
    </x:font>
    <x:font>
      <x:b/>
      <x:color rgb="000000FF"/>
    </x:font>
    <x:font>
      <x:color rgb="007C3AED"/>
    </x:font>
    <x:font>
      <x:i/>
      <x:color rgb="00666666"/>
    </x:font>
    <x:font>
      <x:sz val="10"/>
      <x:color rgb="00666666"/>
    </x:font>
    <x:font>
      <x:b/>
      <x:sz val="16"/>
      <x:color rgb="000F766E"/>
    </x:font>
  </x:fonts>
  <x:fills count="9">
    <x:fill>
      <x:patternFill patternType="none"/>
    </x:fill>
    <x:fill>
      <x:patternFill patternType="gray125"/>
    </x:fill>
    <x:fill>
      <x:patternFill patternType="solid">
        <x:fgColor rgb="00FDE9E9"/>
      </x:patternFill>
    </x:fill>
    <x:fill>
      <x:patternFill patternType="solid">
        <x:fgColor rgb="00FFFFFF"/>
      </x:patternFill>
    </x:fill>
    <x:fill>
      <x:patternFill patternType="solid">
        <x:fgColor rgb="00FFF7CC"/>
      </x:patternFill>
    </x:fill>
    <x:fill>
      <x:patternFill patternType="solid">
        <x:fgColor rgb="00D91F26"/>
      </x:patternFill>
    </x:fill>
    <x:fill>
      <x:patternFill patternType="solid">
        <x:fgColor rgb="00EEF5FF"/>
      </x:patternFill>
    </x:fill>
    <x:fill>
      <x:patternFill patternType="solid">
        <x:fgColor rgb="00F6F6F6"/>
      </x:patternFill>
    </x:fill>
    <x:fill>
      <x:patternFill patternType="solid">
        <x:fgColor rgb="00F9F9F9"/>
      </x:patternFill>
    </x:fill>
  </x:fills>
  <x:borders count="15">
    <x:border>
      <x:left/>
      <x:right/>
      <x:top/>
      <x:bottom/>
      <x:diagonal/>
    </x:border>
    <x:border>
      <x:bottom style="medium">
        <x:color rgb="00D91F26"/>
      </x:bottom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  <x:border>
      <x:left style="thin">
        <x:color rgb="00D9D9D9"/>
      </x:left>
      <x:right style="thin">
        <x:color rgb="00D9D9D9"/>
      </x:right>
      <x:top style="thin">
        <x:color rgb="00D91F26"/>
      </x:top>
      <x:bottom style="thin">
        <x:color rgb="00D91F26"/>
      </x:bottom>
    </x:border>
    <x:border>
      <x:left/>
      <x:right/>
      <x:top style="thin">
        <x:color rgb="00D9D9D9"/>
      </x:top>
      <x:bottom/>
      <x:diagonal/>
    </x:border>
    <x:border>
      <x:left/>
      <x:right style="thin">
        <x:color rgb="00D9D9D9"/>
      </x:right>
      <x:top style="thin">
        <x:color rgb="00D9D9D9"/>
      </x:top>
      <x:bottom/>
      <x:diagonal/>
    </x:border>
    <x:border>
      <x:left/>
      <x:right/>
      <x:top style="thin">
        <x:color rgb="00D9D9D9"/>
      </x:top>
      <x:bottom style="thin">
        <x:color rgb="00D9D9D9"/>
      </x:bottom>
      <x:diagonal/>
    </x:border>
    <x:border>
      <x:left/>
      <x:right style="thin">
        <x:color rgb="00D9D9D9"/>
      </x:right>
      <x:top style="thin">
        <x:color rgb="00D9D9D9"/>
      </x:top>
      <x:bottom style="thin">
        <x:color rgb="00D9D9D9"/>
      </x:bottom>
      <x:diagonal/>
    </x:border>
    <x:border>
      <x:left/>
      <x:right/>
      <x:top/>
      <x:bottom style="medium">
        <x:color rgb="00D91F26"/>
      </x:bottom>
      <x:diagonal/>
    </x:border>
    <x:border>
      <x:left style="thin">
        <x:color rgb="00D9D9D9"/>
      </x:left>
      <x:right/>
      <x:top/>
      <x:bottom/>
      <x:diagonal/>
    </x:border>
    <x:border>
      <x:left/>
      <x:right style="thin">
        <x:color rgb="00D9D9D9"/>
      </x:right>
      <x:top/>
      <x:bottom/>
      <x:diagonal/>
    </x:border>
    <x:border>
      <x:left style="thin">
        <x:color rgb="00D9D9D9"/>
      </x:left>
      <x:right/>
      <x:top/>
      <x:bottom style="thin">
        <x:color rgb="00D9D9D9"/>
      </x:bottom>
      <x:diagonal/>
    </x:border>
    <x:border>
      <x:left/>
      <x:right/>
      <x:top/>
      <x:bottom style="thin">
        <x:color rgb="00D9D9D9"/>
      </x:bottom>
      <x:diagonal/>
    </x:border>
    <x:border>
      <x:left/>
      <x:right style="thin">
        <x:color rgb="00D9D9D9"/>
      </x:right>
      <x:top/>
      <x:bottom style="thin">
        <x:color rgb="00D9D9D9"/>
      </x:bottom>
      <x:diagonal/>
    </x:border>
    <x:border>
      <x:right/>
      <x:bottom style="medium">
        <x:color rgb="00D91F26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0" fillId="2" borderId="1" xfId="0"/>
    <x:xf numFmtId="0" fontId="3" fillId="0" borderId="0" xfId="0" applyAlignment="1">
      <x:alignment horizontal="center"/>
    </x:xf>
    <x:xf numFmtId="0" fontId="4" fillId="0" borderId="0" xfId="0" applyAlignment="1">
      <x:alignment horizontal="center"/>
    </x:xf>
    <x:xf numFmtId="0" fontId="7" fillId="3" borderId="2" xfId="0" applyAlignment="1">
      <x:alignment horizontal="left" vertical="top" wrapText="1"/>
    </x:xf>
    <x:xf numFmtId="0" fontId="6" fillId="3" borderId="2" xfId="0" applyAlignment="1">
      <x:alignment horizontal="left" vertical="top" wrapText="1"/>
    </x:xf>
    <x:xf numFmtId="0" fontId="8" fillId="4" borderId="2" xfId="0" applyAlignment="1">
      <x:alignment vertical="top" wrapText="1"/>
    </x:xf>
    <x:xf numFmtId="0" fontId="9" fillId="5" borderId="0" xfId="0" applyAlignment="1">
      <x:alignment horizontal="left" vertical="center"/>
    </x:xf>
    <x:xf numFmtId="0" fontId="7" fillId="2" borderId="3" xfId="0" applyAlignment="1">
      <x:alignment horizontal="center" vertical="center" wrapText="1"/>
    </x:xf>
    <x:xf numFmtId="0" fontId="5" fillId="0" borderId="2" xfId="0" applyAlignment="1">
      <x:alignment horizontal="center" vertical="top"/>
    </x:xf>
    <x:xf numFmtId="0" fontId="5" fillId="0" borderId="2" xfId="0" applyAlignment="1">
      <x:alignment horizontal="center" vertical="top" wrapText="1"/>
    </x:xf>
    <x:xf numFmtId="0" fontId="5" fillId="0" borderId="2" xfId="0" applyAlignment="1">
      <x:alignment horizontal="left" vertical="top" wrapText="1"/>
    </x:xf>
    <x:xf numFmtId="0" fontId="11" fillId="6" borderId="2" xfId="0" applyAlignment="1">
      <x:alignment horizontal="center" vertical="top" wrapText="1"/>
    </x:xf>
    <x:xf numFmtId="0" fontId="11" fillId="6" borderId="2" xfId="0" applyAlignment="1">
      <x:alignment horizontal="left" vertical="top" wrapText="1"/>
    </x:xf>
    <x:xf numFmtId="0" fontId="10" fillId="0" borderId="2" xfId="0" applyAlignment="1">
      <x:alignment horizontal="center" vertical="top" wrapText="1"/>
    </x:xf>
    <x:xf numFmtId="0" fontId="6" fillId="6" borderId="2" xfId="0" applyAlignment="1">
      <x:alignment horizontal="center" vertical="top" wrapText="1"/>
    </x:xf>
    <x:xf numFmtId="164" fontId="5" fillId="0" borderId="2" xfId="0" applyAlignment="1">
      <x:alignment horizontal="center" vertical="top" wrapText="1"/>
    </x:xf>
    <x:xf numFmtId="0" fontId="12" fillId="0" borderId="2" xfId="0" applyAlignment="1">
      <x:alignment horizontal="left" vertical="top" wrapText="1"/>
    </x:xf>
    <x:xf numFmtId="0" fontId="13" fillId="7" borderId="0" xfId="0" applyAlignment="1">
      <x:alignment horizontal="left"/>
    </x:xf>
    <x:xf numFmtId="0" fontId="14" fillId="0" borderId="0" xfId="0" applyAlignment="1">
      <x:alignment horizontal="center"/>
    </x:xf>
    <x:xf numFmtId="0" fontId="9" fillId="5" borderId="2" xfId="0" applyAlignment="1">
      <x:alignment horizontal="center" vertical="center"/>
    </x:xf>
    <x:xf numFmtId="0" fontId="0" fillId="0" borderId="2" xfId="0"/>
    <x:xf numFmtId="1" fontId="15" fillId="8" borderId="2" xfId="0" applyAlignment="1">
      <x:alignment horizontal="center" vertical="center"/>
    </x:xf>
    <x:xf numFmtId="164" fontId="15" fillId="8" borderId="2" xfId="0" applyAlignment="1">
      <x:alignment horizontal="center" vertical="center"/>
    </x:xf>
    <x:xf numFmtId="165" fontId="5" fillId="0" borderId="2" xfId="0" applyAlignment="1">
      <x:alignment horizontal="center" vertical="top" wrapText="1"/>
    </x:xf>
    <x:xf numFmtId="0" fontId="5" fillId="8" borderId="2" xfId="0" applyAlignment="1">
      <x:alignment vertical="top" wrapText="1"/>
    </x:xf>
    <x:xf numFmtId="0" fontId="0" fillId="0" borderId="8" xfId="0"/>
    <x:xf numFmtId="0" fontId="0" fillId="0" borderId="7" xfId="0"/>
    <x:xf numFmtId="0" fontId="0" fillId="0" borderId="6" xfId="0"/>
    <x:xf numFmtId="0" fontId="0" fillId="0" borderId="4" xfId="0"/>
    <x:xf numFmtId="0" fontId="0" fillId="0" borderId="5" xfId="0"/>
    <x:xf numFmtId="0" fontId="0" fillId="0" borderId="9" xfId="0"/>
    <x:xf numFmtId="0" fontId="0" fillId="0" borderId="10" xfId="0"/>
    <x:xf numFmtId="0" fontId="0" fillId="0" borderId="11" xfId="0"/>
    <x:xf numFmtId="0" fontId="0" fillId="0" borderId="12" xfId="0"/>
    <x:xf numFmtId="0" fontId="0" fillId="0" borderId="13" xfId="0"/>
    <x:xf numFmtId="0" fontId="0" fillId="2" borderId="14" xfId="0"/>
  </x:cellXfs>
  <x:cellStyles count="1">
    <x:cellStyle name="Normal" xfId="0"/>
  </x:cellStyles>
  <x:dxfs count="3">
    <x:dxf>
      <x:fill>
        <x:patternFill>
          <x:bgColor rgb="00E2F0D9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7b238c7054d17" /><Relationship Type="http://schemas.openxmlformats.org/officeDocument/2006/relationships/theme" Target="/xl/theme/theme1.xml" Id="Rc0a4c2104ae94040" /><Relationship Type="http://schemas.openxmlformats.org/officeDocument/2006/relationships/sharedStrings" Target="/xl/sharedStrings.xml" Id="R7ecff964171a4e52" /><Relationship Type="http://schemas.openxmlformats.org/officeDocument/2006/relationships/worksheet" Target="/xl/worksheets/sheet1.xml" Id="Rce7dbce492384c00" /><Relationship Type="http://schemas.openxmlformats.org/officeDocument/2006/relationships/worksheet" Target="/xl/worksheets/sheet2.xml" Id="Rdc47d7f363004d06" /><Relationship Type="http://schemas.openxmlformats.org/officeDocument/2006/relationships/worksheet" Target="/xl/worksheets/sheet3.xml" Id="Ree9bace669cd48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02badc08d04491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ec8fb01c36f74cb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ac88ac112aa64dae" /><Relationship Type="http://schemas.openxmlformats.org/officeDocument/2006/relationships/chart" Target="/xl/drawings/charts/chart1.xml" Id="R4dcae6910e37468d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Ketepatan per Area Kompetensi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'Analisa'!D16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'Analisa'!$B$17:$B$20</c:f>
              <c:strCache>
                <c:ptCount val="0"/>
              </c:strCache>
            </c:strRef>
          </c:cat>
          <c:val>
            <c:numRef>
              <c:f>'Analisa'!$D$17:$D$20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Ketepatan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Area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plotVisOnly val="1"/>
    <c:dispBlanksAs val="gap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590550" cy="590550"/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2badc08d0449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590550" cy="590550"/>
    <xdr:pic>
      <xdr:nvPicPr>
        <xdr:cNvPr id="1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8fb01c36f74c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15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cae6910e37468d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590550" cy="590550"/>
    <xdr:pic>
      <xdr:nvPicPr>
        <xdr:cNvPr id="1" name="/xl/media/image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88ac112aa64d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dc9cd646b94c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68b0268fee24b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11223210e324e27" /></Relationships>
</file>

<file path=xl/worksheets/sheet1.xml><?xml version="1.0" encoding="utf-8"?>
<x:worksheet xmlns:x="http://schemas.openxmlformats.org/spreadsheetml/2006/main">
  <x:sheetPr>
    <x:tabColor rgb="00D91F26"/>
  </x:sheetPr>
  <x:sheetViews>
    <x:sheetView showGridLines="0" workbookViewId="0"/>
  </x:sheetViews>
  <x:sheetFormatPr baseColWidth="8" defaultRowHeight="15"/>
  <x:cols>
    <x:col min="1" max="1" width="5" customWidth="1"/>
    <x:col min="2" max="2" width="8" customWidth="1"/>
    <x:col min="3" max="3" width="22" customWidth="1"/>
    <x:col min="4" max="4" width="28" customWidth="1"/>
    <x:col min="5" max="5" width="10" customWidth="1"/>
    <x:col min="6" max="6" width="4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8" customWidth="1"/>
    <x:col min="12" max="12" width="24" customWidth="1"/>
    <x:col min="13" max="13" width="34" customWidth="1"/>
    <x:col min="14" max="14" width="14" customWidth="1"/>
    <x:col min="15" max="15" width="14" customWidth="1"/>
    <x:col min="16" max="16" width="14" customWidth="1"/>
  </x:cols>
  <x:sheetData>
    <x:row r="1" ht="26" customHeight="1">
      <x:c r="C1" s="1" t="inlineStr">
        <x:is>
          <x:t xml:space="preserve">EIGHTEEN REKRUTMEN ASIA</x:t>
        </x:is>
      </x:c>
    </x:row>
    <x:row r="2" ht="26" customHeight="1"/>
    <x:row r="3" ht="20" customHeight="1">
      <x:c r="C3" s="2" t="inlineStr">
        <x:is>
          <x:t xml:space="preserve">Dokumen Evaluasi Pelatihan – Level 2 Learning</x:t>
        </x:is>
      </x:c>
    </x:row>
    <x:row r="4" ht="8" customHeight="1"/>
    <x:row r="5" ht="8" customHeight="1">
      <x:c r="A5" s="38" t="n"/>
      <x:c r="B5" s="28" t="n"/>
      <x:c r="C5" s="28" t="n"/>
      <x:c r="D5" s="28" t="n"/>
      <x:c r="E5" s="28" t="n"/>
      <x:c r="F5" s="28" t="n"/>
      <x:c r="G5" s="28" t="n"/>
      <x:c r="H5" s="28" t="n"/>
      <x:c r="I5" s="28" t="n"/>
      <x:c r="J5" s="28" t="n"/>
      <x:c r="K5" s="28" t="n"/>
      <x:c r="L5" s="28" t="n"/>
      <x:c r="M5" s="28" t="n"/>
      <x:c r="N5" s="28" t="n"/>
      <x:c r="O5" s="28" t="n"/>
      <x:c r="P5" s="28" t="n"/>
    </x:row>
    <x:row r="6" ht="26" customHeight="1">
      <x:c r="A6" s="4" t="inlineStr">
        <x:is>
          <x:t xml:space="preserve">BANK SOAL LEVEL 2 – LEARNING (THE KIRKPATRICK MODEL)</x:t>
        </x:is>
      </x:c>
    </x:row>
    <x:row r="7" ht="22" customHeight="1">
      <x:c r="A7" s="5" t="inlineStr">
        <x:is>
          <x:t xml:space="preserve">Program: Communication Essentials for Work | Klien: Relasi Diri | Penyelenggara: Eighteen Rekrutmen Asia</x:t>
        </x:is>
      </x:c>
    </x:row>
    <x:row r="9">
      <x:c r="B9" s="6" t="inlineStr">
        <x:is>
          <x:t xml:space="preserve">Klien</x:t>
        </x:is>
      </x:c>
      <x:c r="C9" s="29" t="n"/>
      <x:c r="D9" s="7" t="inlineStr">
        <x:is>
          <x:t xml:space="preserve">Relasi Diri</x:t>
        </x:is>
      </x:c>
      <x:c r="E9" s="30" t="n"/>
      <x:c r="F9" s="30" t="n"/>
      <x:c r="G9" s="30" t="n"/>
      <x:c r="H9" s="30" t="n"/>
      <x:c r="I9" s="29" t="n"/>
      <x:c r="K9" s="8" t="inlineStr">
        <x:is>
          <x:t xml:space="preserve">Workbook 1 menyimpan bank soal, opsi jawaban, kunci, indikator, dan rasional singkat. Silakan revisi isi soal bila program atau konteks peserta berubah.</x:t>
        </x:is>
      </x:c>
      <x:c r="L9" s="31" t="n"/>
      <x:c r="M9" s="31" t="n"/>
      <x:c r="N9" s="31" t="n"/>
      <x:c r="O9" s="31" t="n"/>
      <x:c r="P9" s="32" t="n"/>
    </x:row>
    <x:row r="10">
      <x:c r="B10" s="6" t="inlineStr">
        <x:is>
          <x:t xml:space="preserve">Program</x:t>
        </x:is>
      </x:c>
      <x:c r="C10" s="29" t="n"/>
      <x:c r="D10" s="7" t="inlineStr">
        <x:is>
          <x:t xml:space="preserve">Communication Essentials for Work</x:t>
        </x:is>
      </x:c>
      <x:c r="E10" s="30" t="n"/>
      <x:c r="F10" s="30" t="n"/>
      <x:c r="G10" s="30" t="n"/>
      <x:c r="H10" s="30" t="n"/>
      <x:c r="I10" s="29" t="n"/>
      <x:c r="K10" s="33" t="n"/>
      <x:c r="P10" s="34" t="n"/>
    </x:row>
    <x:row r="11">
      <x:c r="B11" s="6" t="inlineStr">
        <x:is>
          <x:t xml:space="preserve">Backbone SKKNI</x:t>
        </x:is>
      </x:c>
      <x:c r="C11" s="29" t="n"/>
      <x:c r="D11" s="7" t="inlineStr">
        <x:is>
          <x:t xml:space="preserve">N.82ADM00.028.3 – Mengaplikasikan Keterampilan Dasar Komunikasi</x:t>
        </x:is>
      </x:c>
      <x:c r="E11" s="30" t="n"/>
      <x:c r="F11" s="30" t="n"/>
      <x:c r="G11" s="30" t="n"/>
      <x:c r="H11" s="30" t="n"/>
      <x:c r="I11" s="29" t="n"/>
      <x:c r="K11" s="33" t="n"/>
      <x:c r="P11" s="34" t="n"/>
    </x:row>
    <x:row r="12">
      <x:c r="B12" s="6" t="inlineStr">
        <x:is>
          <x:t xml:space="preserve">Model Evaluasi</x:t>
        </x:is>
      </x:c>
      <x:c r="C12" s="29" t="n"/>
      <x:c r="D12" s="7" t="inlineStr">
        <x:is>
          <x:t xml:space="preserve">Post-test pilihan ganda (12 soal)</x:t>
        </x:is>
      </x:c>
      <x:c r="E12" s="30" t="n"/>
      <x:c r="F12" s="30" t="n"/>
      <x:c r="G12" s="30" t="n"/>
      <x:c r="H12" s="30" t="n"/>
      <x:c r="I12" s="29" t="n"/>
      <x:c r="K12" s="35" t="n"/>
      <x:c r="L12" s="36" t="n"/>
      <x:c r="M12" s="36" t="n"/>
      <x:c r="N12" s="36" t="n"/>
      <x:c r="O12" s="36" t="n"/>
      <x:c r="P12" s="37" t="n"/>
    </x:row>
    <x:row r="14" ht="22" customHeight="1">
      <x:c r="A14" s="9" t="inlineStr">
        <x:is>
          <x:t xml:space="preserve">Kumpulan Soal dan Kunci Jawaban</x:t>
        </x:is>
      </x:c>
    </x:row>
    <x:row r="16" ht="34" customHeight="1">
      <x:c r="A16" s="10" t="inlineStr">
        <x:is>
          <x:t xml:space="preserve">No</x:t>
        </x:is>
      </x:c>
      <x:c r="B16" s="10" t="inlineStr">
        <x:is>
          <x:t xml:space="preserve">Kode</x:t>
        </x:is>
      </x:c>
      <x:c r="C16" s="10" t="inlineStr">
        <x:is>
          <x:t xml:space="preserve">Area Kompetensi</x:t>
        </x:is>
      </x:c>
      <x:c r="D16" s="10" t="inlineStr">
        <x:is>
          <x:t xml:space="preserve">Learning Objective</x:t>
        </x:is>
      </x:c>
      <x:c r="E16" s="10" t="inlineStr">
        <x:is>
          <x:t xml:space="preserve">Tingkat</x:t>
        </x:is>
      </x:c>
      <x:c r="F16" s="10" t="inlineStr">
        <x:is>
          <x:t xml:space="preserve">Pertanyaan</x:t>
        </x:is>
      </x:c>
      <x:c r="G16" s="10" t="inlineStr">
        <x:is>
          <x:t xml:space="preserve">Opsi A</x:t>
        </x:is>
      </x:c>
      <x:c r="H16" s="10" t="inlineStr">
        <x:is>
          <x:t xml:space="preserve">Opsi B</x:t>
        </x:is>
      </x:c>
      <x:c r="I16" s="10" t="inlineStr">
        <x:is>
          <x:t xml:space="preserve">Opsi C</x:t>
        </x:is>
      </x:c>
      <x:c r="J16" s="10" t="inlineStr">
        <x:is>
          <x:t xml:space="preserve">Opsi D</x:t>
        </x:is>
      </x:c>
      <x:c r="K16" s="10" t="inlineStr">
        <x:is>
          <x:t xml:space="preserve">Kunci</x:t>
        </x:is>
      </x:c>
      <x:c r="L16" s="10" t="inlineStr">
        <x:is>
          <x:t xml:space="preserve">Jawaban Benar</x:t>
        </x:is>
      </x:c>
      <x:c r="M16" s="10" t="inlineStr">
        <x:is>
          <x:t xml:space="preserve">Rasional / Umpan Balik</x:t>
        </x:is>
      </x:c>
    </x:row>
    <x:row r="17" ht="60" customHeight="1">
      <x:c r="A17" s="11" t="n">
        <x:v>1</x:v>
      </x:c>
      <x:c r="B17" s="12" t="inlineStr">
        <x:is>
          <x:t xml:space="preserve">Q1</x:t>
        </x:is>
      </x:c>
      <x:c r="C17" s="13" t="inlineStr">
        <x:is>
          <x:t xml:space="preserve">Mengidentifikasi proses komunikasi</x:t>
        </x:is>
      </x:c>
      <x:c r="D17" s="13" t="inlineStr">
        <x:is>
          <x:t xml:space="preserve">Menentukan tujuan dan audiens komunikasi</x:t>
        </x:is>
      </x:c>
      <x:c r="E17" s="12" t="inlineStr">
        <x:is>
          <x:t xml:space="preserve">Dasar</x:t>
        </x:is>
      </x:c>
      <x:c r="F17" s="13" t="inlineStr">
        <x:is>
          <x:t xml:space="preserve">Sebelum mengirim pesan kepada tim lintas fungsi, langkah paling tepat dilakukan terlebih dahulu adalah …</x:t>
        </x:is>
      </x:c>
      <x:c r="G17" s="13" t="inlineStr">
        <x:is>
          <x:t xml:space="preserve">Menentukan tujuan pesan dan siapa audiens utamanya</x:t>
        </x:is>
      </x:c>
      <x:c r="H17" s="13" t="inlineStr">
        <x:is>
          <x:t xml:space="preserve">Langsung mengirim pesan agar proses lebih cepat</x:t>
        </x:is>
      </x:c>
      <x:c r="I17" s="13" t="inlineStr">
        <x:is>
          <x:t xml:space="preserve">Menunggu orang lain menjelaskan konteks pesan</x:t>
        </x:is>
      </x:c>
      <x:c r="J17" s="13" t="inlineStr">
        <x:is>
          <x:t xml:space="preserve">Menggunakan semua kanal sekaligus</x:t>
        </x:is>
      </x:c>
      <x:c r="K17" s="14" t="inlineStr">
        <x:is>
          <x:t xml:space="preserve">A</x:t>
        </x:is>
      </x:c>
      <x:c r="L17" s="15" t="inlineStr">
        <x:is>
          <x:t xml:space="preserve">Menentukan tujuan pesan dan siapa audiens utamanya</x:t>
        </x:is>
      </x:c>
      <x:c r="M17" s="16" t="inlineStr">
        <x:is>
          <x:t xml:space="preserve">Komunikasi yang efektif dimulai dari kejelasan tujuan dan pemetaan audiens.</x:t>
        </x:is>
      </x:c>
    </x:row>
    <x:row r="18" ht="60" customHeight="1">
      <x:c r="A18" s="11" t="n">
        <x:v>2</x:v>
      </x:c>
      <x:c r="B18" s="12" t="inlineStr">
        <x:is>
          <x:t xml:space="preserve">Q2</x:t>
        </x:is>
      </x:c>
      <x:c r="C18" s="13" t="inlineStr">
        <x:is>
          <x:t xml:space="preserve">Mengidentifikasi proses komunikasi</x:t>
        </x:is>
      </x:c>
      <x:c r="D18" s="13" t="inlineStr">
        <x:is>
          <x:t xml:space="preserve">Mengenali hambatan komunikasi</x:t>
        </x:is>
      </x:c>
      <x:c r="E18" s="12" t="inlineStr">
        <x:is>
          <x:t xml:space="preserve">Dasar</x:t>
        </x:is>
      </x:c>
      <x:c r="F18" s="13" t="inlineStr">
        <x:is>
          <x:t xml:space="preserve">Contoh hambatan komunikasi yang paling mungkin menimbulkan salah tafsir adalah …</x:t>
        </x:is>
      </x:c>
      <x:c r="G18" s="13" t="inlineStr">
        <x:is>
          <x:t xml:space="preserve">Pesan disampaikan dengan bahasa yang sesuai audiens</x:t>
        </x:is>
      </x:c>
      <x:c r="H18" s="13" t="inlineStr">
        <x:is>
          <x:t xml:space="preserve">Informasi penting dibagikan melalui kanal yang tepat</x:t>
        </x:is>
      </x:c>
      <x:c r="I18" s="13" t="inlineStr">
        <x:is>
          <x:t xml:space="preserve">Instruksi disampaikan terlalu umum dan tanpa konteks</x:t>
        </x:is>
      </x:c>
      <x:c r="J18" s="13" t="inlineStr">
        <x:is>
          <x:t xml:space="preserve">Komunikan diberi kesempatan bertanya</x:t>
        </x:is>
      </x:c>
      <x:c r="K18" s="14" t="inlineStr">
        <x:is>
          <x:t xml:space="preserve">C</x:t>
        </x:is>
      </x:c>
      <x:c r="L18" s="15" t="inlineStr">
        <x:is>
          <x:t xml:space="preserve">Instruksi disampaikan terlalu umum dan tanpa konteks</x:t>
        </x:is>
      </x:c>
      <x:c r="M18" s="16" t="inlineStr">
        <x:is>
          <x:t xml:space="preserve">Pesan yang ambigu meningkatkan risiko salah tafsir dan tindak lanjut yang tidak tepat.</x:t>
        </x:is>
      </x:c>
    </x:row>
    <x:row r="19" ht="60" customHeight="1">
      <x:c r="A19" s="11" t="n">
        <x:v>3</x:v>
      </x:c>
      <x:c r="B19" s="12" t="inlineStr">
        <x:is>
          <x:t xml:space="preserve">Q3</x:t>
        </x:is>
      </x:c>
      <x:c r="C19" s="13" t="inlineStr">
        <x:is>
          <x:t xml:space="preserve">Mengidentifikasi proses komunikasi</x:t>
        </x:is>
      </x:c>
      <x:c r="D19" s="13" t="inlineStr">
        <x:is>
          <x:t xml:space="preserve">Memverifikasi akurasi informasi</x:t>
        </x:is>
      </x:c>
      <x:c r="E19" s="12" t="inlineStr">
        <x:is>
          <x:t xml:space="preserve">Menengah</x:t>
        </x:is>
      </x:c>
      <x:c r="F19" s="13" t="inlineStr">
        <x:is>
          <x:t xml:space="preserve">Sebelum meneruskan informasi sensitif kepada pihak lain, hal yang harus dipastikan adalah …</x:t>
        </x:is>
      </x:c>
      <x:c r="G19" s="13" t="inlineStr">
        <x:is>
          <x:t xml:space="preserve">Apakah informasi tersebut menarik untuk dibaca</x:t>
        </x:is>
      </x:c>
      <x:c r="H19" s="13" t="inlineStr">
        <x:is>
          <x:t xml:space="preserve">Apakah informasi akurat, relevan, dan boleh dibagikan</x:t>
        </x:is>
      </x:c>
      <x:c r="I19" s="13" t="inlineStr">
        <x:is>
          <x:t xml:space="preserve">Apakah informasi itu panjang dan rinci</x:t>
        </x:is>
      </x:c>
      <x:c r="J19" s="13" t="inlineStr">
        <x:is>
          <x:t xml:space="preserve">Apakah semua orang di grup bisa melihatnya</x:t>
        </x:is>
      </x:c>
      <x:c r="K19" s="14" t="inlineStr">
        <x:is>
          <x:t xml:space="preserve">B</x:t>
        </x:is>
      </x:c>
      <x:c r="L19" s="15" t="inlineStr">
        <x:is>
          <x:t xml:space="preserve">Apakah informasi akurat, relevan, dan boleh dibagikan</x:t>
        </x:is>
      </x:c>
      <x:c r="M19" s="16" t="inlineStr">
        <x:is>
          <x:t xml:space="preserve">Verifikasi akurasi, relevansi, dan kerahasiaan adalah bagian penting dari komunikasi kerja.</x:t>
        </x:is>
      </x:c>
    </x:row>
    <x:row r="20" ht="60" customHeight="1">
      <x:c r="A20" s="11" t="n">
        <x:v>4</x:v>
      </x:c>
      <x:c r="B20" s="12" t="inlineStr">
        <x:is>
          <x:t xml:space="preserve">Q4</x:t>
        </x:is>
      </x:c>
      <x:c r="C20" s="13" t="inlineStr">
        <x:is>
          <x:t xml:space="preserve">Menangani informasi</x:t>
        </x:is>
      </x:c>
      <x:c r="D20" s="13" t="inlineStr">
        <x:is>
          <x:t xml:space="preserve">Menerapkan active listening</x:t>
        </x:is>
      </x:c>
      <x:c r="E20" s="12" t="inlineStr">
        <x:is>
          <x:t xml:space="preserve">Dasar</x:t>
        </x:is>
      </x:c>
      <x:c r="F20" s="13" t="inlineStr">
        <x:is>
          <x:t xml:space="preserve">Perilaku yang menunjukkan active listening saat menerima instruksi atasan adalah …</x:t>
        </x:is>
      </x:c>
      <x:c r="G20" s="13" t="inlineStr">
        <x:is>
          <x:t xml:space="preserve">Memotong pembicaraan agar pembicaraan lebih cepat selesai</x:t>
        </x:is>
      </x:c>
      <x:c r="H20" s="13" t="inlineStr">
        <x:is>
          <x:t xml:space="preserve">Mengangguk, mencatat poin penting, lalu mengklarifikasi bila perlu</x:t>
        </x:is>
      </x:c>
      <x:c r="I20" s="13" t="inlineStr">
        <x:is>
          <x:t xml:space="preserve">Hanya mendengar tanpa mencatat apa pun</x:t>
        </x:is>
      </x:c>
      <x:c r="J20" s="13" t="inlineStr">
        <x:is>
          <x:t xml:space="preserve">Menunggu arahan tertulis tanpa bertanya</x:t>
        </x:is>
      </x:c>
      <x:c r="K20" s="14" t="inlineStr">
        <x:is>
          <x:t xml:space="preserve">B</x:t>
        </x:is>
      </x:c>
      <x:c r="L20" s="15" t="inlineStr">
        <x:is>
          <x:t xml:space="preserve">Mengangguk, mencatat poin penting, lalu mengklarifikasi bila perlu</x:t>
        </x:is>
      </x:c>
      <x:c r="M20" s="16" t="inlineStr">
        <x:is>
          <x:t xml:space="preserve">Active listening melibatkan perhatian penuh, pencatatan, dan klarifikasi.</x:t>
        </x:is>
      </x:c>
    </x:row>
    <x:row r="21" ht="60" customHeight="1">
      <x:c r="A21" s="11" t="n">
        <x:v>5</x:v>
      </x:c>
      <x:c r="B21" s="12" t="inlineStr">
        <x:is>
          <x:t xml:space="preserve">Q5</x:t>
        </x:is>
      </x:c>
      <x:c r="C21" s="13" t="inlineStr">
        <x:is>
          <x:t xml:space="preserve">Menangani informasi</x:t>
        </x:is>
      </x:c>
      <x:c r="D21" s="13" t="inlineStr">
        <x:is>
          <x:t xml:space="preserve">Mendokumentasikan informasi kerja</x:t>
        </x:is>
      </x:c>
      <x:c r="E21" s="12" t="inlineStr">
        <x:is>
          <x:t xml:space="preserve">Menengah</x:t>
        </x:is>
      </x:c>
      <x:c r="F21" s="13" t="inlineStr">
        <x:is>
          <x:t xml:space="preserve">Catatan pesan yang baik setelah menerima telepon pelanggan seharusnya berisi …</x:t>
        </x:is>
      </x:c>
      <x:c r="G21" s="13" t="inlineStr">
        <x:is>
          <x:t xml:space="preserve">Isi keluhan, nama penelpon, kontak balik, dan tindak lanjut</x:t>
        </x:is>
      </x:c>
      <x:c r="H21" s="13" t="inlineStr">
        <x:is>
          <x:t xml:space="preserve">Hanya nomor telepon penelpon</x:t>
        </x:is>
      </x:c>
      <x:c r="I21" s="13" t="inlineStr">
        <x:is>
          <x:t xml:space="preserve">Pendapat pribadi penerima telepon</x:t>
        </x:is>
      </x:c>
      <x:c r="J21" s="13" t="inlineStr">
        <x:is>
          <x:t xml:space="preserve">Ringkasan yang sangat singkat tanpa detail penting</x:t>
        </x:is>
      </x:c>
      <x:c r="K21" s="14" t="inlineStr">
        <x:is>
          <x:t xml:space="preserve">A</x:t>
        </x:is>
      </x:c>
      <x:c r="L21" s="15" t="inlineStr">
        <x:is>
          <x:t xml:space="preserve">Isi keluhan, nama penelpon, kontak balik, dan tindak lanjut</x:t>
        </x:is>
      </x:c>
      <x:c r="M21" s="16" t="inlineStr">
        <x:is>
          <x:t xml:space="preserve">Dokumentasi harus cukup jelas agar orang lain dapat menindaklanjuti.</x:t>
        </x:is>
      </x:c>
    </x:row>
    <x:row r="22" ht="60" customHeight="1">
      <x:c r="A22" s="11" t="n">
        <x:v>6</x:v>
      </x:c>
      <x:c r="B22" s="12" t="inlineStr">
        <x:is>
          <x:t xml:space="preserve">Q6</x:t>
        </x:is>
      </x:c>
      <x:c r="C22" s="13" t="inlineStr">
        <x:is>
          <x:t xml:space="preserve">Menangani informasi</x:t>
        </x:is>
      </x:c>
      <x:c r="D22" s="13" t="inlineStr">
        <x:is>
          <x:t xml:space="preserve">Menyampaikan ulang informasi secara akurat</x:t>
        </x:is>
      </x:c>
      <x:c r="E22" s="12" t="inlineStr">
        <x:is>
          <x:t xml:space="preserve">Menengah</x:t>
        </x:is>
      </x:c>
      <x:c r="F22" s="13" t="inlineStr">
        <x:is>
          <x:t xml:space="preserve">Saat diminta menyampaikan ulang informasi ke rekan kerja, pendekatan yang paling tepat adalah …</x:t>
        </x:is>
      </x:c>
      <x:c r="G22" s="13" t="inlineStr">
        <x:is>
          <x:t xml:space="preserve">Menyederhanakan isi sampai inti pesan berubah</x:t>
        </x:is>
      </x:c>
      <x:c r="H22" s="13" t="inlineStr">
        <x:is>
          <x:t xml:space="preserve">Menggunakan kata-kata sendiri tetapi menjaga makna inti tetap sama</x:t>
        </x:is>
      </x:c>
      <x:c r="I22" s="13" t="inlineStr">
        <x:is>
          <x:t xml:space="preserve">Menambahkan asumsi agar pesan terdengar lebih lengkap</x:t>
        </x:is>
      </x:c>
      <x:c r="J22" s="13" t="inlineStr">
        <x:is>
          <x:t xml:space="preserve">Menyampaikan hanya bagian yang menurut kita penting</x:t>
        </x:is>
      </x:c>
      <x:c r="K22" s="14" t="inlineStr">
        <x:is>
          <x:t xml:space="preserve">B</x:t>
        </x:is>
      </x:c>
      <x:c r="L22" s="15" t="inlineStr">
        <x:is>
          <x:t xml:space="preserve">Menggunakan kata-kata sendiri tetapi menjaga makna inti tetap sama</x:t>
        </x:is>
      </x:c>
      <x:c r="M22" s="16" t="inlineStr">
        <x:is>
          <x:t xml:space="preserve">Parafrase yang baik menjaga makna inti tanpa menambah asumsi baru.</x:t>
        </x:is>
      </x:c>
    </x:row>
    <x:row r="23" ht="60" customHeight="1">
      <x:c r="A23" s="11" t="n">
        <x:v>7</x:v>
      </x:c>
      <x:c r="B23" s="12" t="inlineStr">
        <x:is>
          <x:t xml:space="preserve">Q7</x:t>
        </x:is>
      </x:c>
      <x:c r="C23" s="13" t="inlineStr">
        <x:is>
          <x:t xml:space="preserve">Membuat konsep komunikasi</x:t>
        </x:is>
      </x:c>
      <x:c r="D23" s="13" t="inlineStr">
        <x:is>
          <x:t xml:space="preserve">Menyusun pesan tertulis profesional</x:t>
        </x:is>
      </x:c>
      <x:c r="E23" s="12" t="inlineStr">
        <x:is>
          <x:t xml:space="preserve">Dasar</x:t>
        </x:is>
      </x:c>
      <x:c r="F23" s="13" t="inlineStr">
        <x:is>
          <x:t xml:space="preserve">Subjek email yang paling profesional untuk mengirim notulen rapat adalah …</x:t>
        </x:is>
      </x:c>
      <x:c r="G23" s="13" t="inlineStr">
        <x:is>
          <x:t xml:space="preserve">Halo Kak</x:t>
        </x:is>
      </x:c>
      <x:c r="H23" s="13" t="inlineStr">
        <x:is>
          <x:t xml:space="preserve">Notulen rapat kemarin ya</x:t>
        </x:is>
      </x:c>
      <x:c r="I23" s="13" t="inlineStr">
        <x:is>
          <x:t xml:space="preserve">Notulen Rapat Koordinasi Program – 30 April 2026</x:t>
        </x:is>
      </x:c>
      <x:c r="J23" s="13" t="inlineStr">
        <x:is>
          <x:t xml:space="preserve">Penting banget dibaca</x:t>
        </x:is>
      </x:c>
      <x:c r="K23" s="14" t="inlineStr">
        <x:is>
          <x:t xml:space="preserve">C</x:t>
        </x:is>
      </x:c>
      <x:c r="L23" s="15" t="inlineStr">
        <x:is>
          <x:t xml:space="preserve">Notulen Rapat Koordinasi Program – 30 April 2026</x:t>
        </x:is>
      </x:c>
      <x:c r="M23" s="16" t="inlineStr">
        <x:is>
          <x:t xml:space="preserve">Subjek harus jelas, spesifik, dan mudah ditelusuri.</x:t>
        </x:is>
      </x:c>
    </x:row>
    <x:row r="24" ht="60" customHeight="1">
      <x:c r="A24" s="11" t="n">
        <x:v>8</x:v>
      </x:c>
      <x:c r="B24" s="12" t="inlineStr">
        <x:is>
          <x:t xml:space="preserve">Q8</x:t>
        </x:is>
      </x:c>
      <x:c r="C24" s="13" t="inlineStr">
        <x:is>
          <x:t xml:space="preserve">Membuat konsep komunikasi</x:t>
        </x:is>
      </x:c>
      <x:c r="D24" s="13" t="inlineStr">
        <x:is>
          <x:t xml:space="preserve">Melakukan self-review sebelum mengirim pesan</x:t>
        </x:is>
      </x:c>
      <x:c r="E24" s="12" t="inlineStr">
        <x:is>
          <x:t xml:space="preserve">Menengah</x:t>
        </x:is>
      </x:c>
      <x:c r="F24" s="13" t="inlineStr">
        <x:is>
          <x:t xml:space="preserve">Sebelum mengirim pesan tertulis ke klien, peserta sebaiknya melakukan …</x:t>
        </x:is>
      </x:c>
      <x:c r="G24" s="13" t="inlineStr">
        <x:is>
          <x:t xml:space="preserve">Self-review pada kejelasan, nada, data, dan ejaan</x:t>
        </x:is>
      </x:c>
      <x:c r="H24" s="13" t="inlineStr">
        <x:is>
          <x:t xml:space="preserve">Menghapus semua detail agar pesan singkat</x:t>
        </x:is>
      </x:c>
      <x:c r="I24" s="13" t="inlineStr">
        <x:is>
          <x:t xml:space="preserve">Mengirim dahulu lalu memperbaiki bila ada komplain</x:t>
        </x:is>
      </x:c>
      <x:c r="J24" s="13" t="inlineStr">
        <x:is>
          <x:t xml:space="preserve">Memakai singkatan informal agar terasa akrab</x:t>
        </x:is>
      </x:c>
      <x:c r="K24" s="14" t="inlineStr">
        <x:is>
          <x:t xml:space="preserve">A</x:t>
        </x:is>
      </x:c>
      <x:c r="L24" s="15" t="inlineStr">
        <x:is>
          <x:t xml:space="preserve">Self-review pada kejelasan, nada, data, dan ejaan</x:t>
        </x:is>
      </x:c>
      <x:c r="M24" s="16" t="inlineStr">
        <x:is>
          <x:t xml:space="preserve">Self-review membantu menjaga profesionalisme dan meminimalkan kesalahan.</x:t>
        </x:is>
      </x:c>
    </x:row>
    <x:row r="25" ht="60" customHeight="1">
      <x:c r="A25" s="11" t="n">
        <x:v>9</x:v>
      </x:c>
      <x:c r="B25" s="12" t="inlineStr">
        <x:is>
          <x:t xml:space="preserve">Q9</x:t>
        </x:is>
      </x:c>
      <x:c r="C25" s="13" t="inlineStr">
        <x:is>
          <x:t xml:space="preserve">Membuat konsep komunikasi</x:t>
        </x:is>
      </x:c>
      <x:c r="D25" s="13" t="inlineStr">
        <x:is>
          <x:t xml:space="preserve">Menyesuaikan gaya bahasa dengan audiens</x:t>
        </x:is>
      </x:c>
      <x:c r="E25" s="12" t="inlineStr">
        <x:is>
          <x:t xml:space="preserve">Menengah</x:t>
        </x:is>
      </x:c>
      <x:c r="F25" s="13" t="inlineStr">
        <x:is>
          <x:t xml:space="preserve">Jika audiens adalah klien baru yang belum akrab, gaya bahasa yang paling tepat adalah …</x:t>
        </x:is>
      </x:c>
      <x:c r="G25" s="13" t="inlineStr">
        <x:is>
          <x:t xml:space="preserve">Sangat santai dan penuh slang</x:t>
        </x:is>
      </x:c>
      <x:c r="H25" s="13" t="inlineStr">
        <x:is>
          <x:t xml:space="preserve">Profesional, sopan, dan langsung ke tujuan</x:t>
        </x:is>
      </x:c>
      <x:c r="I25" s="13" t="inlineStr">
        <x:is>
          <x:t xml:space="preserve">Sangat teknis tanpa penjelasan</x:t>
        </x:is>
      </x:c>
      <x:c r="J25" s="13" t="inlineStr">
        <x:is>
          <x:t xml:space="preserve">Bercanda agar cepat cair</x:t>
        </x:is>
      </x:c>
      <x:c r="K25" s="14" t="inlineStr">
        <x:is>
          <x:t xml:space="preserve">B</x:t>
        </x:is>
      </x:c>
      <x:c r="L25" s="15" t="inlineStr">
        <x:is>
          <x:t xml:space="preserve">Profesional, sopan, dan langsung ke tujuan</x:t>
        </x:is>
      </x:c>
      <x:c r="M25" s="16" t="inlineStr">
        <x:is>
          <x:t xml:space="preserve">Gaya bahasa perlu disesuaikan dengan hubungan dan konteks audiens.</x:t>
        </x:is>
      </x:c>
    </x:row>
    <x:row r="26" ht="60" customHeight="1">
      <x:c r="A26" s="11" t="n">
        <x:v>10</x:v>
      </x:c>
      <x:c r="B26" s="12" t="inlineStr">
        <x:is>
          <x:t xml:space="preserve">Q10</x:t>
        </x:is>
      </x:c>
      <x:c r="C26" s="13" t="inlineStr">
        <x:is>
          <x:t xml:space="preserve">Menggunakan media komunikasi</x:t>
        </x:is>
      </x:c>
      <x:c r="D26" s="13" t="inlineStr">
        <x:is>
          <x:t xml:space="preserve">Memilih kanal komunikasi sesuai urgensi</x:t>
        </x:is>
      </x:c>
      <x:c r="E26" s="12" t="inlineStr">
        <x:is>
          <x:t xml:space="preserve">Dasar</x:t>
        </x:is>
      </x:c>
      <x:c r="F26" s="13" t="inlineStr">
        <x:is>
          <x:t xml:space="preserve">Untuk isu yang mendesak dan perlu konfirmasi cepat, media yang paling tepat adalah …</x:t>
        </x:is>
      </x:c>
      <x:c r="G26" s="13" t="inlineStr">
        <x:is>
          <x:t xml:space="preserve">Email tanpa tindak lanjut</x:t>
        </x:is>
      </x:c>
      <x:c r="H26" s="13" t="inlineStr">
        <x:is>
          <x:t xml:space="preserve">Poster pengumuman</x:t>
        </x:is>
      </x:c>
      <x:c r="I26" s="13" t="inlineStr">
        <x:is>
          <x:t xml:space="preserve">Telepon/voice call lalu diikuti ringkasan tertulis</x:t>
        </x:is>
      </x:c>
      <x:c r="J26" s="13" t="inlineStr">
        <x:is>
          <x:t xml:space="preserve">Memo cetak</x:t>
        </x:is>
      </x:c>
      <x:c r="K26" s="14" t="inlineStr">
        <x:is>
          <x:t xml:space="preserve">C</x:t>
        </x:is>
      </x:c>
      <x:c r="L26" s="15" t="inlineStr">
        <x:is>
          <x:t xml:space="preserve">Telepon/voice call lalu diikuti ringkasan tertulis</x:t>
        </x:is>
      </x:c>
      <x:c r="M26" s="16" t="inlineStr">
        <x:is>
          <x:t xml:space="preserve">Situasi mendesak memerlukan respons cepat dan jejak tindak lanjut.</x:t>
        </x:is>
      </x:c>
    </x:row>
    <x:row r="27" ht="60" customHeight="1">
      <x:c r="A27" s="11" t="n">
        <x:v>11</x:v>
      </x:c>
      <x:c r="B27" s="12" t="inlineStr">
        <x:is>
          <x:t xml:space="preserve">Q11</x:t>
        </x:is>
      </x:c>
      <x:c r="C27" s="13" t="inlineStr">
        <x:is>
          <x:t xml:space="preserve">Menggunakan media komunikasi</x:t>
        </x:is>
      </x:c>
      <x:c r="D27" s="13" t="inlineStr">
        <x:is>
          <x:t xml:space="preserve">Menerapkan etika digital</x:t>
        </x:is>
      </x:c>
      <x:c r="E27" s="12" t="inlineStr">
        <x:is>
          <x:t xml:space="preserve">Menengah</x:t>
        </x:is>
      </x:c>
      <x:c r="F27" s="13" t="inlineStr">
        <x:is>
          <x:t xml:space="preserve">Contoh etika digital yang baik dalam grup kerja adalah …</x:t>
        </x:is>
      </x:c>
      <x:c r="G27" s="13" t="inlineStr">
        <x:is>
          <x:t xml:space="preserve">Meneruskan semua pesan tanpa mengecek konteks</x:t>
        </x:is>
      </x:c>
      <x:c r="H27" s="13" t="inlineStr">
        <x:is>
          <x:t xml:space="preserve">Mengirim pesan di luar jam kerja tanpa urgensi</x:t>
        </x:is>
      </x:c>
      <x:c r="I27" s="13" t="inlineStr">
        <x:is>
          <x:t xml:space="preserve">Menulis pesan jelas, seperlunya, dan sesuai tujuan grup</x:t>
        </x:is>
      </x:c>
      <x:c r="J27" s="13" t="inlineStr">
        <x:is>
          <x:t xml:space="preserve">Menggunakan huruf kapital penuh agar terlihat tegas</x:t>
        </x:is>
      </x:c>
      <x:c r="K27" s="14" t="inlineStr">
        <x:is>
          <x:t xml:space="preserve">C</x:t>
        </x:is>
      </x:c>
      <x:c r="L27" s="15" t="inlineStr">
        <x:is>
          <x:t xml:space="preserve">Menulis pesan jelas, seperlunya, dan sesuai tujuan grup</x:t>
        </x:is>
      </x:c>
      <x:c r="M27" s="16" t="inlineStr">
        <x:is>
          <x:t xml:space="preserve">Etika digital menekankan relevansi, kejelasan, dan penghormatan pada konteks.</x:t>
        </x:is>
      </x:c>
    </x:row>
    <x:row r="28" ht="60" customHeight="1">
      <x:c r="A28" s="11" t="n">
        <x:v>12</x:v>
      </x:c>
      <x:c r="B28" s="12" t="inlineStr">
        <x:is>
          <x:t xml:space="preserve">Q12</x:t>
        </x:is>
      </x:c>
      <x:c r="C28" s="13" t="inlineStr">
        <x:is>
          <x:t xml:space="preserve">Menggunakan media komunikasi</x:t>
        </x:is>
      </x:c>
      <x:c r="D28" s="13" t="inlineStr">
        <x:is>
          <x:t xml:space="preserve">Melakukan follow-up keterterimaan pesan</x:t>
        </x:is>
      </x:c>
      <x:c r="E28" s="12" t="inlineStr">
        <x:is>
          <x:t xml:space="preserve">Menengah</x:t>
        </x:is>
      </x:c>
      <x:c r="F28" s="13" t="inlineStr">
        <x:is>
          <x:t xml:space="preserve">Setelah mengirim instruksi penting melalui email, tindakan lanjutan yang paling tepat adalah …</x:t>
        </x:is>
      </x:c>
      <x:c r="G28" s="13" t="inlineStr">
        <x:is>
          <x:t xml:space="preserve">Menganggap pesan pasti sudah dipahami</x:t>
        </x:is>
      </x:c>
      <x:c r="H28" s="13" t="inlineStr">
        <x:is>
          <x:t xml:space="preserve">Melakukan follow-up untuk memastikan pesan diterima dan dapat ditindaklanjuti</x:t>
        </x:is>
      </x:c>
      <x:c r="I28" s="13" t="inlineStr">
        <x:is>
          <x:t xml:space="preserve">Mengirim ulang email yang sama berkali-kali tanpa penjelasan</x:t>
        </x:is>
      </x:c>
      <x:c r="J28" s="13" t="inlineStr">
        <x:is>
          <x:t xml:space="preserve">Meminta rekan lain menjelaskan kembali tanpa konfirmasi</x:t>
        </x:is>
      </x:c>
      <x:c r="K28" s="14" t="inlineStr">
        <x:is>
          <x:t xml:space="preserve">B</x:t>
        </x:is>
      </x:c>
      <x:c r="L28" s="15" t="inlineStr">
        <x:is>
          <x:t xml:space="preserve">Melakukan follow-up untuk memastikan pesan diterima dan dapat ditindaklanjuti</x:t>
        </x:is>
      </x:c>
      <x:c r="M28" s="16" t="inlineStr">
        <x:is>
          <x:t xml:space="preserve">Follow-up diperlukan untuk menjamin keterlacakan dan kejelasan tindak lanjut.</x:t>
        </x:is>
      </x:c>
    </x:row>
  </x:sheetData>
  <x:mergeCells>
    <x:mergeCell ref="D11:I11"/>
    <x:mergeCell ref="C1:H2"/>
    <x:mergeCell ref="A5:P5"/>
    <x:mergeCell ref="D10:I10"/>
    <x:mergeCell ref="A14:P14"/>
    <x:mergeCell ref="B11:C11"/>
    <x:mergeCell ref="B10:C10"/>
    <x:mergeCell ref="K9:P12"/>
    <x:mergeCell ref="A6:P6"/>
    <x:mergeCell ref="D9:I9"/>
    <x:mergeCell ref="D12:I12"/>
    <x:mergeCell ref="C3:H3"/>
    <x:mergeCell ref="B9:C9"/>
    <x:mergeCell ref="A7:P7"/>
    <x:mergeCell ref="B12:C12"/>
  </x:mergeCells>
  <x:pageMargins left="0.7" right="0.7" top="0.75" bottom="0.75" header="0.3" footer="0.3"/>
  <x:drawing xmlns:r="http://schemas.openxmlformats.org/officeDocument/2006/relationships" r:id="Rdcdc9cd646b94c83"/>
</x:worksheet>
</file>

<file path=xl/worksheets/sheet2.xml><?xml version="1.0" encoding="utf-8"?>
<x:worksheet xmlns:x="http://schemas.openxmlformats.org/spreadsheetml/2006/main">
  <x:sheetPr>
    <x:tabColor rgb="000F766E"/>
  </x:sheetPr>
  <x:sheetViews>
    <x:sheetView showGridLines="0" workbookViewId="0"/>
  </x:sheetViews>
  <x:sheetFormatPr baseColWidth="8" defaultRowHeight="15"/>
  <x:cols>
    <x:col min="1" max="1" width="5" customWidth="1"/>
    <x:col min="2" max="2" width="24" customWidth="1"/>
    <x:col min="3" max="3" width="18" customWidth="1"/>
    <x:col min="4" max="4" width="14" customWidth="1"/>
    <x:col min="5" max="5" width="6" customWidth="1"/>
    <x:col min="6" max="6" width="6" customWidth="1"/>
    <x:col min="7" max="7" width="6" customWidth="1"/>
    <x:col min="8" max="8" width="6" customWidth="1"/>
    <x:col min="9" max="9" width="6" customWidth="1"/>
    <x:col min="10" max="10" width="6" customWidth="1"/>
    <x:col min="11" max="11" width="6" customWidth="1"/>
    <x:col min="12" max="12" width="6" customWidth="1"/>
    <x:col min="13" max="13" width="6" customWidth="1"/>
    <x:col min="14" max="14" width="6" customWidth="1"/>
    <x:col min="15" max="15" width="6" customWidth="1"/>
    <x:col min="16" max="16" width="6" customWidth="1"/>
    <x:col min="17" max="17" width="12" customWidth="1"/>
    <x:col min="18" max="18" width="12" customWidth="1"/>
    <x:col min="19" max="19" width="18" customWidth="1"/>
    <x:col min="20" max="20" width="26" customWidth="1"/>
  </x:cols>
  <x:sheetData>
    <x:row r="1" ht="26" customHeight="1">
      <x:c r="C1" s="1" t="inlineStr">
        <x:is>
          <x:t xml:space="preserve">EIGHTEEN REKRUTMEN ASIA</x:t>
        </x:is>
      </x:c>
    </x:row>
    <x:row r="2" ht="26" customHeight="1"/>
    <x:row r="3" ht="20" customHeight="1">
      <x:c r="C3" s="2" t="inlineStr">
        <x:is>
          <x:t xml:space="preserve">Dokumen Evaluasi Pelatihan – Level 2 Learning</x:t>
        </x:is>
      </x:c>
    </x:row>
    <x:row r="4" ht="8" customHeight="1"/>
    <x:row r="5" ht="8" customHeight="1">
      <x:c r="A5" s="38" t="n"/>
      <x:c r="B5" s="28" t="n"/>
      <x:c r="C5" s="28" t="n"/>
      <x:c r="D5" s="28" t="n"/>
      <x:c r="E5" s="28" t="n"/>
      <x:c r="F5" s="28" t="n"/>
      <x:c r="G5" s="28" t="n"/>
      <x:c r="H5" s="28" t="n"/>
      <x:c r="I5" s="28" t="n"/>
      <x:c r="J5" s="28" t="n"/>
      <x:c r="K5" s="28" t="n"/>
      <x:c r="L5" s="28" t="n"/>
      <x:c r="M5" s="28" t="n"/>
      <x:c r="N5" s="28" t="n"/>
      <x:c r="O5" s="28" t="n"/>
      <x:c r="P5" s="28" t="n"/>
    </x:row>
    <x:row r="6" ht="26" customHeight="1">
      <x:c r="A6" s="4" t="inlineStr">
        <x:is>
          <x:t xml:space="preserve">FORM EVALUASI LEVEL 2 – LEARNING (THE KIRKPATRICK MODEL)</x:t>
        </x:is>
      </x:c>
    </x:row>
    <x:row r="7" ht="22" customHeight="1">
      <x:c r="A7" s="5" t="inlineStr">
        <x:is>
          <x:t xml:space="preserve">Program: Communication Essentials for Work | Klien: Relasi Diri | Penyelenggara: Eighteen Rekrutmen Asia</x:t>
        </x:is>
      </x:c>
    </x:row>
    <x:row r="9">
      <x:c r="B9" s="6" t="inlineStr">
        <x:is>
          <x:t xml:space="preserve">Klien</x:t>
        </x:is>
      </x:c>
      <x:c r="C9" s="29" t="n"/>
      <x:c r="D9" s="7" t="inlineStr">
        <x:is>
          <x:t xml:space="preserve">Relasi Diri</x:t>
        </x:is>
      </x:c>
      <x:c r="E9" s="30" t="n"/>
      <x:c r="F9" s="30" t="n"/>
      <x:c r="G9" s="30" t="n"/>
      <x:c r="H9" s="30" t="n"/>
      <x:c r="I9" s="29" t="n"/>
      <x:c r="K9" s="8" t="inlineStr">
        <x:is>
          <x:t xml:space="preserve">Workbook 2 dipakai untuk input jawaban peserta. Masukkan pilihan A/B/C/D pada kolom Q1–Q12. Kolom Jumlah Benar, Skor, dan Status terhitung otomatis dari kunci jawaban di sheet Bank Soal.</x:t>
        </x:is>
      </x:c>
      <x:c r="L9" s="31" t="n"/>
      <x:c r="M9" s="31" t="n"/>
      <x:c r="N9" s="31" t="n"/>
      <x:c r="O9" s="31" t="n"/>
      <x:c r="P9" s="31" t="n"/>
      <x:c r="Q9" s="31" t="n"/>
      <x:c r="R9" s="31" t="n"/>
      <x:c r="S9" s="31" t="n"/>
      <x:c r="T9" s="32" t="n"/>
    </x:row>
    <x:row r="10">
      <x:c r="B10" s="6" t="inlineStr">
        <x:is>
          <x:t xml:space="preserve">Program</x:t>
        </x:is>
      </x:c>
      <x:c r="C10" s="29" t="n"/>
      <x:c r="D10" s="7" t="inlineStr">
        <x:is>
          <x:t xml:space="preserve">Communication Essentials for Work</x:t>
        </x:is>
      </x:c>
      <x:c r="E10" s="30" t="n"/>
      <x:c r="F10" s="30" t="n"/>
      <x:c r="G10" s="30" t="n"/>
      <x:c r="H10" s="30" t="n"/>
      <x:c r="I10" s="29" t="n"/>
      <x:c r="K10" s="33" t="n"/>
      <x:c r="T10" s="34" t="n"/>
    </x:row>
    <x:row r="11">
      <x:c r="B11" s="6" t="inlineStr">
        <x:is>
          <x:t xml:space="preserve">Tanggal Pelatihan</x:t>
        </x:is>
      </x:c>
      <x:c r="C11" s="29" t="n"/>
      <x:c r="D11" s="7" t="inlineStr">
        <x:is>
          <x:t xml:space="preserve">30 April 2026</x:t>
        </x:is>
      </x:c>
      <x:c r="E11" s="30" t="n"/>
      <x:c r="F11" s="30" t="n"/>
      <x:c r="G11" s="30" t="n"/>
      <x:c r="H11" s="30" t="n"/>
      <x:c r="I11" s="29" t="n"/>
      <x:c r="K11" s="33" t="n"/>
      <x:c r="T11" s="34" t="n"/>
    </x:row>
    <x:row r="12">
      <x:c r="B12" s="6" t="inlineStr">
        <x:is>
          <x:t xml:space="preserve">Instrumen</x:t>
        </x:is>
      </x:c>
      <x:c r="C12" s="29" t="n"/>
      <x:c r="D12" s="7" t="inlineStr">
        <x:is>
          <x:t xml:space="preserve">Post-test 12 soal pilihan ganda</x:t>
        </x:is>
      </x:c>
      <x:c r="E12" s="30" t="n"/>
      <x:c r="F12" s="30" t="n"/>
      <x:c r="G12" s="30" t="n"/>
      <x:c r="H12" s="30" t="n"/>
      <x:c r="I12" s="29" t="n"/>
      <x:c r="K12" s="35" t="n"/>
      <x:c r="L12" s="36" t="n"/>
      <x:c r="M12" s="36" t="n"/>
      <x:c r="N12" s="36" t="n"/>
      <x:c r="O12" s="36" t="n"/>
      <x:c r="P12" s="36" t="n"/>
      <x:c r="Q12" s="36" t="n"/>
      <x:c r="R12" s="36" t="n"/>
      <x:c r="S12" s="36" t="n"/>
      <x:c r="T12" s="37" t="n"/>
    </x:row>
    <x:row r="14" ht="22" customHeight="1">
      <x:c r="A14" s="9" t="inlineStr">
        <x:is>
          <x:t xml:space="preserve">Form Respon Jawaban Peserta dan Scoring</x:t>
        </x:is>
      </x:c>
    </x:row>
    <x:row r="16" ht="32" customHeight="1">
      <x:c r="A16" s="10" t="inlineStr">
        <x:is>
          <x:t xml:space="preserve">No</x:t>
        </x:is>
      </x:c>
      <x:c r="B16" s="10" t="inlineStr">
        <x:is>
          <x:t xml:space="preserve">Nama Peserta</x:t>
        </x:is>
      </x:c>
      <x:c r="C16" s="10" t="inlineStr">
        <x:is>
          <x:t xml:space="preserve">Unit/Fungsi</x:t>
        </x:is>
      </x:c>
      <x:c r="D16" s="10" t="inlineStr">
        <x:is>
          <x:t xml:space="preserve">Tanggal Tes</x:t>
        </x:is>
      </x:c>
      <x:c r="E16" s="10" t="inlineStr">
        <x:is>
          <x:t xml:space="preserve">Q1</x:t>
        </x:is>
      </x:c>
      <x:c r="F16" s="10" t="inlineStr">
        <x:is>
          <x:t xml:space="preserve">Q2</x:t>
        </x:is>
      </x:c>
      <x:c r="G16" s="10" t="inlineStr">
        <x:is>
          <x:t xml:space="preserve">Q3</x:t>
        </x:is>
      </x:c>
      <x:c r="H16" s="10" t="inlineStr">
        <x:is>
          <x:t xml:space="preserve">Q4</x:t>
        </x:is>
      </x:c>
      <x:c r="I16" s="10" t="inlineStr">
        <x:is>
          <x:t xml:space="preserve">Q5</x:t>
        </x:is>
      </x:c>
      <x:c r="J16" s="10" t="inlineStr">
        <x:is>
          <x:t xml:space="preserve">Q6</x:t>
        </x:is>
      </x:c>
      <x:c r="K16" s="10" t="inlineStr">
        <x:is>
          <x:t xml:space="preserve">Q7</x:t>
        </x:is>
      </x:c>
      <x:c r="L16" s="10" t="inlineStr">
        <x:is>
          <x:t xml:space="preserve">Q8</x:t>
        </x:is>
      </x:c>
      <x:c r="M16" s="10" t="inlineStr">
        <x:is>
          <x:t xml:space="preserve">Q9</x:t>
        </x:is>
      </x:c>
      <x:c r="N16" s="10" t="inlineStr">
        <x:is>
          <x:t xml:space="preserve">Q10</x:t>
        </x:is>
      </x:c>
      <x:c r="O16" s="10" t="inlineStr">
        <x:is>
          <x:t xml:space="preserve">Q11</x:t>
        </x:is>
      </x:c>
      <x:c r="P16" s="10" t="inlineStr">
        <x:is>
          <x:t xml:space="preserve">Q12</x:t>
        </x:is>
      </x:c>
      <x:c r="Q16" s="10" t="inlineStr">
        <x:is>
          <x:t xml:space="preserve">Jumlah Benar</x:t>
        </x:is>
      </x:c>
      <x:c r="R16" s="10" t="inlineStr">
        <x:is>
          <x:t xml:space="preserve">Skor</x:t>
        </x:is>
      </x:c>
      <x:c r="S16" s="10" t="inlineStr">
        <x:is>
          <x:t xml:space="preserve">Status Learning</x:t>
        </x:is>
      </x:c>
      <x:c r="T16" s="10" t="inlineStr">
        <x:is>
          <x:t xml:space="preserve">Catatan</x:t>
        </x:is>
      </x:c>
    </x:row>
    <x:row r="17" ht="24" customHeight="1">
      <x:c r="A17" s="12" t="n">
        <x:v>1</x:v>
      </x:c>
      <x:c r="B17" s="13" t="inlineStr">
        <x:is>
          <x:t xml:space="preserve">Alya Rahman</x:t>
        </x:is>
      </x:c>
      <x:c r="C17" s="13" t="inlineStr">
        <x:is>
          <x:t xml:space="preserve">Program Support</x:t>
        </x:is>
      </x:c>
      <x:c r="D17" s="12" t="inlineStr">
        <x:is>
          <x:t xml:space="preserve">30-Apr-2026</x:t>
        </x:is>
      </x:c>
      <x:c r="E17" s="17" t="inlineStr">
        <x:is>
          <x:t xml:space="preserve">A</x:t>
        </x:is>
      </x:c>
      <x:c r="F17" s="17" t="inlineStr">
        <x:is>
          <x:t xml:space="preserve">C</x:t>
        </x:is>
      </x:c>
      <x:c r="G17" s="17" t="inlineStr">
        <x:is>
          <x:t xml:space="preserve">B</x:t>
        </x:is>
      </x:c>
      <x:c r="H17" s="17" t="inlineStr">
        <x:is>
          <x:t xml:space="preserve">B</x:t>
        </x:is>
      </x:c>
      <x:c r="I17" s="17" t="inlineStr">
        <x:is>
          <x:t xml:space="preserve">A</x:t>
        </x:is>
      </x:c>
      <x:c r="J17" s="17" t="inlineStr">
        <x:is>
          <x:t xml:space="preserve">B</x:t>
        </x:is>
      </x:c>
      <x:c r="K17" s="17" t="inlineStr">
        <x:is>
          <x:t xml:space="preserve">C</x:t>
        </x:is>
      </x:c>
      <x:c r="L17" s="17" t="inlineStr">
        <x:is>
          <x:t xml:space="preserve">B</x:t>
        </x:is>
      </x:c>
      <x:c r="M17" s="17" t="inlineStr">
        <x:is>
          <x:t xml:space="preserve">B</x:t>
        </x:is>
      </x:c>
      <x:c r="N17" s="17" t="inlineStr">
        <x:is>
          <x:t xml:space="preserve">C</x:t>
        </x:is>
      </x:c>
      <x:c r="O17" s="17" t="inlineStr">
        <x:is>
          <x:t xml:space="preserve">C</x:t>
        </x:is>
      </x:c>
      <x:c r="P17" s="17" t="inlineStr">
        <x:is>
          <x:t xml:space="preserve">B</x:t>
        </x:is>
      </x:c>
      <x:c r="Q17" s="12">
        <x:f>--(E17='Bank Soal'!$K$17)+--(F17='Bank Soal'!$K$18)+--(G17='Bank Soal'!$K$19)+--(H17='Bank Soal'!$K$20)+--(I17='Bank Soal'!$K$21)+--(J17='Bank Soal'!$K$22)+--(K17='Bank Soal'!$K$23)+--(L17='Bank Soal'!$K$24)+--(M17='Bank Soal'!$K$25)+--(N17='Bank Soal'!$K$26)+--(O17='Bank Soal'!$K$27)+--(P17='Bank Soal'!$K$28)</x:f>
        <x:v>11</x:v>
      </x:c>
      <x:c r="R17" s="18">
        <x:f>IF(Q17="",0,Q17/12)</x:f>
        <x:v>0.9166666666666666</x:v>
      </x:c>
      <x:c r="S17" s="19" t="str">
        <x:f>IF(R17=0,"",IF(R17&gt;=0.8,"Lulus",IF(R17&gt;=0.6,"Perlu Penguatan","Perlu Remedial")))</x:f>
        <x:v>Lulus</x:v>
      </x:c>
      <x:c r="T17" s="13" t="inlineStr">
        <x:is>
          <x:t xml:space="preserve"/>
        </x:is>
      </x:c>
    </x:row>
    <x:row r="18" ht="24" customHeight="1">
      <x:c r="A18" s="12" t="n">
        <x:v>2</x:v>
      </x:c>
      <x:c r="B18" s="13" t="inlineStr">
        <x:is>
          <x:t xml:space="preserve">Dimas Prasetyo</x:t>
        </x:is>
      </x:c>
      <x:c r="C18" s="13" t="inlineStr">
        <x:is>
          <x:t xml:space="preserve">Client Support</x:t>
        </x:is>
      </x:c>
      <x:c r="D18" s="12" t="inlineStr">
        <x:is>
          <x:t xml:space="preserve">30-Apr-2026</x:t>
        </x:is>
      </x:c>
      <x:c r="E18" s="17" t="inlineStr">
        <x:is>
          <x:t xml:space="preserve">A</x:t>
        </x:is>
      </x:c>
      <x:c r="F18" s="17" t="inlineStr">
        <x:is>
          <x:t xml:space="preserve">C</x:t>
        </x:is>
      </x:c>
      <x:c r="G18" s="17" t="inlineStr">
        <x:is>
          <x:t xml:space="preserve">C</x:t>
        </x:is>
      </x:c>
      <x:c r="H18" s="17" t="inlineStr">
        <x:is>
          <x:t xml:space="preserve">B</x:t>
        </x:is>
      </x:c>
      <x:c r="I18" s="17" t="inlineStr">
        <x:is>
          <x:t xml:space="preserve">A</x:t>
        </x:is>
      </x:c>
      <x:c r="J18" s="17" t="inlineStr">
        <x:is>
          <x:t xml:space="preserve">D</x:t>
        </x:is>
      </x:c>
      <x:c r="K18" s="17" t="inlineStr">
        <x:is>
          <x:t xml:space="preserve">C</x:t>
        </x:is>
      </x:c>
      <x:c r="L18" s="17" t="inlineStr">
        <x:is>
          <x:t xml:space="preserve">A</x:t>
        </x:is>
      </x:c>
      <x:c r="M18" s="17" t="inlineStr">
        <x:is>
          <x:t xml:space="preserve">B</x:t>
        </x:is>
      </x:c>
      <x:c r="N18" s="17" t="inlineStr">
        <x:is>
          <x:t xml:space="preserve">C</x:t>
        </x:is>
      </x:c>
      <x:c r="O18" s="17" t="inlineStr">
        <x:is>
          <x:t xml:space="preserve">C</x:t>
        </x:is>
      </x:c>
      <x:c r="P18" s="17" t="inlineStr">
        <x:is>
          <x:t xml:space="preserve">B</x:t>
        </x:is>
      </x:c>
      <x:c r="Q18" s="12">
        <x:f>--(E18='Bank Soal'!$K$17)+--(F18='Bank Soal'!$K$18)+--(G18='Bank Soal'!$K$19)+--(H18='Bank Soal'!$K$20)+--(I18='Bank Soal'!$K$21)+--(J18='Bank Soal'!$K$22)+--(K18='Bank Soal'!$K$23)+--(L18='Bank Soal'!$K$24)+--(M18='Bank Soal'!$K$25)+--(N18='Bank Soal'!$K$26)+--(O18='Bank Soal'!$K$27)+--(P18='Bank Soal'!$K$28)</x:f>
        <x:v>10</x:v>
      </x:c>
      <x:c r="R18" s="18">
        <x:f>IF(Q18="",0,Q18/12)</x:f>
        <x:v>0.8333333333333334</x:v>
      </x:c>
      <x:c r="S18" s="19" t="str">
        <x:f>IF(R18=0,"",IF(R18&gt;=0.8,"Lulus",IF(R18&gt;=0.6,"Perlu Penguatan","Perlu Remedial")))</x:f>
        <x:v>Lulus</x:v>
      </x:c>
      <x:c r="T18" s="13" t="inlineStr">
        <x:is>
          <x:t xml:space="preserve"/>
        </x:is>
      </x:c>
    </x:row>
    <x:row r="19" ht="24" customHeight="1">
      <x:c r="A19" s="12" t="n">
        <x:v>3</x:v>
      </x:c>
      <x:c r="B19" s="13" t="inlineStr">
        <x:is>
          <x:t xml:space="preserve">Nadira Putri</x:t>
        </x:is>
      </x:c>
      <x:c r="C19" s="13" t="inlineStr">
        <x:is>
          <x:t xml:space="preserve">Community Officer</x:t>
        </x:is>
      </x:c>
      <x:c r="D19" s="12" t="inlineStr">
        <x:is>
          <x:t xml:space="preserve">30-Apr-2026</x:t>
        </x:is>
      </x:c>
      <x:c r="E19" s="17" t="inlineStr">
        <x:is>
          <x:t xml:space="preserve">A</x:t>
        </x:is>
      </x:c>
      <x:c r="F19" s="17" t="inlineStr">
        <x:is>
          <x:t xml:space="preserve">C</x:t>
        </x:is>
      </x:c>
      <x:c r="G19" s="17" t="inlineStr">
        <x:is>
          <x:t xml:space="preserve">B</x:t>
        </x:is>
      </x:c>
      <x:c r="H19" s="17" t="inlineStr">
        <x:is>
          <x:t xml:space="preserve">A</x:t>
        </x:is>
      </x:c>
      <x:c r="I19" s="17" t="inlineStr">
        <x:is>
          <x:t xml:space="preserve">A</x:t>
        </x:is>
      </x:c>
      <x:c r="J19" s="17" t="inlineStr">
        <x:is>
          <x:t xml:space="preserve">B</x:t>
        </x:is>
      </x:c>
      <x:c r="K19" s="17" t="inlineStr">
        <x:is>
          <x:t xml:space="preserve">C</x:t>
        </x:is>
      </x:c>
      <x:c r="L19" s="17" t="inlineStr">
        <x:is>
          <x:t xml:space="preserve">A</x:t>
        </x:is>
      </x:c>
      <x:c r="M19" s="17" t="inlineStr">
        <x:is>
          <x:t xml:space="preserve">B</x:t>
        </x:is>
      </x:c>
      <x:c r="N19" s="17" t="inlineStr">
        <x:is>
          <x:t xml:space="preserve">C</x:t>
        </x:is>
      </x:c>
      <x:c r="O19" s="17" t="inlineStr">
        <x:is>
          <x:t xml:space="preserve">A</x:t>
        </x:is>
      </x:c>
      <x:c r="P19" s="17" t="inlineStr">
        <x:is>
          <x:t xml:space="preserve">C</x:t>
        </x:is>
      </x:c>
      <x:c r="Q19" s="12">
        <x:f>--(E19='Bank Soal'!$K$17)+--(F19='Bank Soal'!$K$18)+--(G19='Bank Soal'!$K$19)+--(H19='Bank Soal'!$K$20)+--(I19='Bank Soal'!$K$21)+--(J19='Bank Soal'!$K$22)+--(K19='Bank Soal'!$K$23)+--(L19='Bank Soal'!$K$24)+--(M19='Bank Soal'!$K$25)+--(N19='Bank Soal'!$K$26)+--(O19='Bank Soal'!$K$27)+--(P19='Bank Soal'!$K$28)</x:f>
        <x:v>9</x:v>
      </x:c>
      <x:c r="R19" s="18">
        <x:f>IF(Q19="",0,Q19/12)</x:f>
        <x:v>0.75</x:v>
      </x:c>
      <x:c r="S19" s="19" t="str">
        <x:f>IF(R19=0,"",IF(R19&gt;=0.8,"Lulus",IF(R19&gt;=0.6,"Perlu Penguatan","Perlu Remedial")))</x:f>
        <x:v>Perlu Penguatan</x:v>
      </x:c>
      <x:c r="T19" s="13" t="inlineStr">
        <x:is>
          <x:t xml:space="preserve"/>
        </x:is>
      </x:c>
    </x:row>
    <x:row r="20" ht="24" customHeight="1">
      <x:c r="A20" s="12" t="n">
        <x:v>4</x:v>
      </x:c>
      <x:c r="B20" s="13" t="inlineStr">
        <x:is>
          <x:t xml:space="preserve">Rafi Maulana</x:t>
        </x:is>
      </x:c>
      <x:c r="C20" s="13" t="inlineStr">
        <x:is>
          <x:t xml:space="preserve">Operations</x:t>
        </x:is>
      </x:c>
      <x:c r="D20" s="12" t="inlineStr">
        <x:is>
          <x:t xml:space="preserve">30-Apr-2026</x:t>
        </x:is>
      </x:c>
      <x:c r="E20" s="17" t="inlineStr">
        <x:is>
          <x:t xml:space="preserve">A</x:t>
        </x:is>
      </x:c>
      <x:c r="F20" s="17" t="inlineStr">
        <x:is>
          <x:t xml:space="preserve">C</x:t>
        </x:is>
      </x:c>
      <x:c r="G20" s="17" t="inlineStr">
        <x:is>
          <x:t xml:space="preserve">A</x:t>
        </x:is>
      </x:c>
      <x:c r="H20" s="17" t="inlineStr">
        <x:is>
          <x:t xml:space="preserve">B</x:t>
        </x:is>
      </x:c>
      <x:c r="I20" s="17" t="inlineStr">
        <x:is>
          <x:t xml:space="preserve">A</x:t>
        </x:is>
      </x:c>
      <x:c r="J20" s="17" t="inlineStr">
        <x:is>
          <x:t xml:space="preserve">B</x:t>
        </x:is>
      </x:c>
      <x:c r="K20" s="17" t="inlineStr">
        <x:is>
          <x:t xml:space="preserve">B</x:t>
        </x:is>
      </x:c>
      <x:c r="L20" s="17" t="inlineStr">
        <x:is>
          <x:t xml:space="preserve">B</x:t>
        </x:is>
      </x:c>
      <x:c r="M20" s="17" t="inlineStr">
        <x:is>
          <x:t xml:space="preserve">B</x:t>
        </x:is>
      </x:c>
      <x:c r="N20" s="17" t="inlineStr">
        <x:is>
          <x:t xml:space="preserve">C</x:t>
        </x:is>
      </x:c>
      <x:c r="O20" s="17" t="inlineStr">
        <x:is>
          <x:t xml:space="preserve">C</x:t>
        </x:is>
      </x:c>
      <x:c r="P20" s="17" t="inlineStr">
        <x:is>
          <x:t xml:space="preserve">D</x:t>
        </x:is>
      </x:c>
      <x:c r="Q20" s="12">
        <x:f>--(E20='Bank Soal'!$K$17)+--(F20='Bank Soal'!$K$18)+--(G20='Bank Soal'!$K$19)+--(H20='Bank Soal'!$K$20)+--(I20='Bank Soal'!$K$21)+--(J20='Bank Soal'!$K$22)+--(K20='Bank Soal'!$K$23)+--(L20='Bank Soal'!$K$24)+--(M20='Bank Soal'!$K$25)+--(N20='Bank Soal'!$K$26)+--(O20='Bank Soal'!$K$27)+--(P20='Bank Soal'!$K$28)</x:f>
        <x:v>8</x:v>
      </x:c>
      <x:c r="R20" s="18">
        <x:f>IF(Q20="",0,Q20/12)</x:f>
        <x:v>0.6666666666666666</x:v>
      </x:c>
      <x:c r="S20" s="19" t="str">
        <x:f>IF(R20=0,"",IF(R20&gt;=0.8,"Lulus",IF(R20&gt;=0.6,"Perlu Penguatan","Perlu Remedial")))</x:f>
        <x:v>Perlu Penguatan</x:v>
      </x:c>
      <x:c r="T20" s="13" t="inlineStr">
        <x:is>
          <x:t xml:space="preserve"/>
        </x:is>
      </x:c>
    </x:row>
    <x:row r="21" ht="24" customHeight="1">
      <x:c r="A21" s="12" t="n">
        <x:v>5</x:v>
      </x:c>
      <x:c r="B21" s="13" t="inlineStr">
        <x:is>
          <x:t xml:space="preserve">Citra Azzahra</x:t>
        </x:is>
      </x:c>
      <x:c r="C21" s="13" t="inlineStr">
        <x:is>
          <x:t xml:space="preserve">Partnership</x:t>
        </x:is>
      </x:c>
      <x:c r="D21" s="12" t="inlineStr">
        <x:is>
          <x:t xml:space="preserve">30-Apr-2026</x:t>
        </x:is>
      </x:c>
      <x:c r="E21" s="17" t="inlineStr">
        <x:is>
          <x:t xml:space="preserve">A</x:t>
        </x:is>
      </x:c>
      <x:c r="F21" s="17" t="inlineStr">
        <x:is>
          <x:t xml:space="preserve">C</x:t>
        </x:is>
      </x:c>
      <x:c r="G21" s="17" t="inlineStr">
        <x:is>
          <x:t xml:space="preserve">A</x:t>
        </x:is>
      </x:c>
      <x:c r="H21" s="17" t="inlineStr">
        <x:is>
          <x:t xml:space="preserve">B</x:t>
        </x:is>
      </x:c>
      <x:c r="I21" s="17" t="inlineStr">
        <x:is>
          <x:t xml:space="preserve">A</x:t>
        </x:is>
      </x:c>
      <x:c r="J21" s="17" t="inlineStr">
        <x:is>
          <x:t xml:space="preserve">B</x:t>
        </x:is>
      </x:c>
      <x:c r="K21" s="17" t="inlineStr">
        <x:is>
          <x:t xml:space="preserve">C</x:t>
        </x:is>
      </x:c>
      <x:c r="L21" s="17" t="inlineStr">
        <x:is>
          <x:t xml:space="preserve">A</x:t>
        </x:is>
      </x:c>
      <x:c r="M21" s="17" t="inlineStr">
        <x:is>
          <x:t xml:space="preserve">B</x:t>
        </x:is>
      </x:c>
      <x:c r="N21" s="17" t="inlineStr">
        <x:is>
          <x:t xml:space="preserve">C</x:t>
        </x:is>
      </x:c>
      <x:c r="O21" s="17" t="inlineStr">
        <x:is>
          <x:t xml:space="preserve">C</x:t>
        </x:is>
      </x:c>
      <x:c r="P21" s="17" t="inlineStr">
        <x:is>
          <x:t xml:space="preserve">A</x:t>
        </x:is>
      </x:c>
      <x:c r="Q21" s="12">
        <x:f>--(E21='Bank Soal'!$K$17)+--(F21='Bank Soal'!$K$18)+--(G21='Bank Soal'!$K$19)+--(H21='Bank Soal'!$K$20)+--(I21='Bank Soal'!$K$21)+--(J21='Bank Soal'!$K$22)+--(K21='Bank Soal'!$K$23)+--(L21='Bank Soal'!$K$24)+--(M21='Bank Soal'!$K$25)+--(N21='Bank Soal'!$K$26)+--(O21='Bank Soal'!$K$27)+--(P21='Bank Soal'!$K$28)</x:f>
        <x:v>10</x:v>
      </x:c>
      <x:c r="R21" s="18">
        <x:f>IF(Q21="",0,Q21/12)</x:f>
        <x:v>0.8333333333333334</x:v>
      </x:c>
      <x:c r="S21" s="19" t="str">
        <x:f>IF(R21=0,"",IF(R21&gt;=0.8,"Lulus",IF(R21&gt;=0.6,"Perlu Penguatan","Perlu Remedial")))</x:f>
        <x:v>Lulus</x:v>
      </x:c>
      <x:c r="T21" s="13" t="inlineStr">
        <x:is>
          <x:t xml:space="preserve"/>
        </x:is>
      </x:c>
    </x:row>
    <x:row r="22" ht="24" customHeight="1">
      <x:c r="A22" s="12" t="n">
        <x:v>6</x:v>
      </x:c>
      <x:c r="B22" s="13" t="inlineStr">
        <x:is>
          <x:t xml:space="preserve">Rizky Fadillah</x:t>
        </x:is>
      </x:c>
      <x:c r="C22" s="13" t="inlineStr">
        <x:is>
          <x:t xml:space="preserve">Fasilitator</x:t>
        </x:is>
      </x:c>
      <x:c r="D22" s="12" t="inlineStr">
        <x:is>
          <x:t xml:space="preserve">30-Apr-2026</x:t>
        </x:is>
      </x:c>
      <x:c r="E22" s="17" t="inlineStr">
        <x:is>
          <x:t xml:space="preserve">A</x:t>
        </x:is>
      </x:c>
      <x:c r="F22" s="17" t="inlineStr">
        <x:is>
          <x:t xml:space="preserve">C</x:t>
        </x:is>
      </x:c>
      <x:c r="G22" s="17" t="inlineStr">
        <x:is>
          <x:t xml:space="preserve">B</x:t>
        </x:is>
      </x:c>
      <x:c r="H22" s="17" t="inlineStr">
        <x:is>
          <x:t xml:space="preserve">B</x:t>
        </x:is>
      </x:c>
      <x:c r="I22" s="17" t="inlineStr">
        <x:is>
          <x:t xml:space="preserve">A</x:t>
        </x:is>
      </x:c>
      <x:c r="J22" s="17" t="inlineStr">
        <x:is>
          <x:t xml:space="preserve">B</x:t>
        </x:is>
      </x:c>
      <x:c r="K22" s="17" t="inlineStr">
        <x:is>
          <x:t xml:space="preserve">C</x:t>
        </x:is>
      </x:c>
      <x:c r="L22" s="17" t="inlineStr">
        <x:is>
          <x:t xml:space="preserve">A</x:t>
        </x:is>
      </x:c>
      <x:c r="M22" s="17" t="inlineStr">
        <x:is>
          <x:t xml:space="preserve">B</x:t>
        </x:is>
      </x:c>
      <x:c r="N22" s="17" t="inlineStr">
        <x:is>
          <x:t xml:space="preserve">C</x:t>
        </x:is>
      </x:c>
      <x:c r="O22" s="17" t="inlineStr">
        <x:is>
          <x:t xml:space="preserve">C</x:t>
        </x:is>
      </x:c>
      <x:c r="P22" s="17" t="inlineStr">
        <x:is>
          <x:t xml:space="preserve">B</x:t>
        </x:is>
      </x:c>
      <x:c r="Q22" s="12">
        <x:f>--(E22='Bank Soal'!$K$17)+--(F22='Bank Soal'!$K$18)+--(G22='Bank Soal'!$K$19)+--(H22='Bank Soal'!$K$20)+--(I22='Bank Soal'!$K$21)+--(J22='Bank Soal'!$K$22)+--(K22='Bank Soal'!$K$23)+--(L22='Bank Soal'!$K$24)+--(M22='Bank Soal'!$K$25)+--(N22='Bank Soal'!$K$26)+--(O22='Bank Soal'!$K$27)+--(P22='Bank Soal'!$K$28)</x:f>
        <x:v>12</x:v>
      </x:c>
      <x:c r="R22" s="18">
        <x:f>IF(Q22="",0,Q22/12)</x:f>
        <x:v>1</x:v>
      </x:c>
      <x:c r="S22" s="19" t="str">
        <x:f>IF(R22=0,"",IF(R22&gt;=0.8,"Lulus",IF(R22&gt;=0.6,"Perlu Penguatan","Perlu Remedial")))</x:f>
        <x:v>Lulus</x:v>
      </x:c>
      <x:c r="T22" s="13" t="inlineStr">
        <x:is>
          <x:t xml:space="preserve"/>
        </x:is>
      </x:c>
    </x:row>
    <x:row r="23" ht="24" customHeight="1">
      <x:c r="A23" s="12" t="n">
        <x:v>7</x:v>
      </x:c>
      <x:c r="B23" s="13" t="inlineStr">
        <x:is>
          <x:t xml:space="preserve">Intan Lestari</x:t>
        </x:is>
      </x:c>
      <x:c r="C23" s="13" t="inlineStr">
        <x:is>
          <x:t xml:space="preserve">Admin Program</x:t>
        </x:is>
      </x:c>
      <x:c r="D23" s="12" t="inlineStr">
        <x:is>
          <x:t xml:space="preserve">30-Apr-2026</x:t>
        </x:is>
      </x:c>
      <x:c r="E23" s="17" t="inlineStr">
        <x:is>
          <x:t xml:space="preserve">D</x:t>
        </x:is>
      </x:c>
      <x:c r="F23" s="17" t="inlineStr">
        <x:is>
          <x:t xml:space="preserve">C</x:t>
        </x:is>
      </x:c>
      <x:c r="G23" s="17" t="inlineStr">
        <x:is>
          <x:t xml:space="preserve">B</x:t>
        </x:is>
      </x:c>
      <x:c r="H23" s="17" t="inlineStr">
        <x:is>
          <x:t xml:space="preserve">B</x:t>
        </x:is>
      </x:c>
      <x:c r="I23" s="17" t="inlineStr">
        <x:is>
          <x:t xml:space="preserve">D</x:t>
        </x:is>
      </x:c>
      <x:c r="J23" s="17" t="inlineStr">
        <x:is>
          <x:t xml:space="preserve">B</x:t>
        </x:is>
      </x:c>
      <x:c r="K23" s="17" t="inlineStr">
        <x:is>
          <x:t xml:space="preserve">D</x:t>
        </x:is>
      </x:c>
      <x:c r="L23" s="17" t="inlineStr">
        <x:is>
          <x:t xml:space="preserve">A</x:t>
        </x:is>
      </x:c>
      <x:c r="M23" s="17" t="inlineStr">
        <x:is>
          <x:t xml:space="preserve">B</x:t>
        </x:is>
      </x:c>
      <x:c r="N23" s="17" t="inlineStr">
        <x:is>
          <x:t xml:space="preserve">C</x:t>
        </x:is>
      </x:c>
      <x:c r="O23" s="17" t="inlineStr">
        <x:is>
          <x:t xml:space="preserve">C</x:t>
        </x:is>
      </x:c>
      <x:c r="P23" s="17" t="inlineStr">
        <x:is>
          <x:t xml:space="preserve">B</x:t>
        </x:is>
      </x:c>
      <x:c r="Q23" s="12">
        <x:f>--(E23='Bank Soal'!$K$17)+--(F23='Bank Soal'!$K$18)+--(G23='Bank Soal'!$K$19)+--(H23='Bank Soal'!$K$20)+--(I23='Bank Soal'!$K$21)+--(J23='Bank Soal'!$K$22)+--(K23='Bank Soal'!$K$23)+--(L23='Bank Soal'!$K$24)+--(M23='Bank Soal'!$K$25)+--(N23='Bank Soal'!$K$26)+--(O23='Bank Soal'!$K$27)+--(P23='Bank Soal'!$K$28)</x:f>
        <x:v>9</x:v>
      </x:c>
      <x:c r="R23" s="18">
        <x:f>IF(Q23="",0,Q23/12)</x:f>
        <x:v>0.75</x:v>
      </x:c>
      <x:c r="S23" s="19" t="str">
        <x:f>IF(R23=0,"",IF(R23&gt;=0.8,"Lulus",IF(R23&gt;=0.6,"Perlu Penguatan","Perlu Remedial")))</x:f>
        <x:v>Perlu Penguatan</x:v>
      </x:c>
      <x:c r="T23" s="13" t="inlineStr">
        <x:is>
          <x:t xml:space="preserve"/>
        </x:is>
      </x:c>
    </x:row>
    <x:row r="24" ht="24" customHeight="1">
      <x:c r="A24" s="12" t="n">
        <x:v>8</x:v>
      </x:c>
      <x:c r="B24" s="13" t="inlineStr">
        <x:is>
          <x:t xml:space="preserve">Bagas Saputra</x:t>
        </x:is>
      </x:c>
      <x:c r="C24" s="13" t="inlineStr">
        <x:is>
          <x:t xml:space="preserve">Customer Care</x:t>
        </x:is>
      </x:c>
      <x:c r="D24" s="12" t="inlineStr">
        <x:is>
          <x:t xml:space="preserve">30-Apr-2026</x:t>
        </x:is>
      </x:c>
      <x:c r="E24" s="17" t="inlineStr">
        <x:is>
          <x:t xml:space="preserve">A</x:t>
        </x:is>
      </x:c>
      <x:c r="F24" s="17" t="inlineStr">
        <x:is>
          <x:t xml:space="preserve">B</x:t>
        </x:is>
      </x:c>
      <x:c r="G24" s="17" t="inlineStr">
        <x:is>
          <x:t xml:space="preserve">C</x:t>
        </x:is>
      </x:c>
      <x:c r="H24" s="17" t="inlineStr">
        <x:is>
          <x:t xml:space="preserve">B</x:t>
        </x:is>
      </x:c>
      <x:c r="I24" s="17" t="inlineStr">
        <x:is>
          <x:t xml:space="preserve">C</x:t>
        </x:is>
      </x:c>
      <x:c r="J24" s="17" t="inlineStr">
        <x:is>
          <x:t xml:space="preserve">B</x:t>
        </x:is>
      </x:c>
      <x:c r="K24" s="17" t="inlineStr">
        <x:is>
          <x:t xml:space="preserve">C</x:t>
        </x:is>
      </x:c>
      <x:c r="L24" s="17" t="inlineStr">
        <x:is>
          <x:t xml:space="preserve">B</x:t>
        </x:is>
      </x:c>
      <x:c r="M24" s="17" t="inlineStr">
        <x:is>
          <x:t xml:space="preserve">B</x:t>
        </x:is>
      </x:c>
      <x:c r="N24" s="17" t="inlineStr">
        <x:is>
          <x:t xml:space="preserve">A</x:t>
        </x:is>
      </x:c>
      <x:c r="O24" s="17" t="inlineStr">
        <x:is>
          <x:t xml:space="preserve">C</x:t>
        </x:is>
      </x:c>
      <x:c r="P24" s="17" t="inlineStr">
        <x:is>
          <x:t xml:space="preserve">B</x:t>
        </x:is>
      </x:c>
      <x:c r="Q24" s="12">
        <x:f>--(E24='Bank Soal'!$K$17)+--(F24='Bank Soal'!$K$18)+--(G24='Bank Soal'!$K$19)+--(H24='Bank Soal'!$K$20)+--(I24='Bank Soal'!$K$21)+--(J24='Bank Soal'!$K$22)+--(K24='Bank Soal'!$K$23)+--(L24='Bank Soal'!$K$24)+--(M24='Bank Soal'!$K$25)+--(N24='Bank Soal'!$K$26)+--(O24='Bank Soal'!$K$27)+--(P24='Bank Soal'!$K$28)</x:f>
        <x:v>7</x:v>
      </x:c>
      <x:c r="R24" s="18">
        <x:f>IF(Q24="",0,Q24/12)</x:f>
        <x:v>0.5833333333333334</x:v>
      </x:c>
      <x:c r="S24" s="19" t="str">
        <x:f>IF(R24=0,"",IF(R24&gt;=0.8,"Lulus",IF(R24&gt;=0.6,"Perlu Penguatan","Perlu Remedial")))</x:f>
        <x:v>Perlu Remedial</x:v>
      </x:c>
      <x:c r="T24" s="13" t="inlineStr">
        <x:is>
          <x:t xml:space="preserve"/>
        </x:is>
      </x:c>
    </x:row>
    <x:row r="25" ht="24" customHeight="1">
      <x:c r="A25" s="12" t="n">
        <x:v>9</x:v>
      </x:c>
      <x:c r="B25" s="13" t="inlineStr">
        <x:is>
          <x:t xml:space="preserve">Nabila Kurnia</x:t>
        </x:is>
      </x:c>
      <x:c r="C25" s="13" t="inlineStr">
        <x:is>
          <x:t xml:space="preserve">Program Associate</x:t>
        </x:is>
      </x:c>
      <x:c r="D25" s="12" t="inlineStr">
        <x:is>
          <x:t xml:space="preserve">30-Apr-2026</x:t>
        </x:is>
      </x:c>
      <x:c r="E25" s="17" t="inlineStr">
        <x:is>
          <x:t xml:space="preserve">A</x:t>
        </x:is>
      </x:c>
      <x:c r="F25" s="17" t="inlineStr">
        <x:is>
          <x:t xml:space="preserve">C</x:t>
        </x:is>
      </x:c>
      <x:c r="G25" s="17" t="inlineStr">
        <x:is>
          <x:t xml:space="preserve">B</x:t>
        </x:is>
      </x:c>
      <x:c r="H25" s="17" t="inlineStr">
        <x:is>
          <x:t xml:space="preserve">B</x:t>
        </x:is>
      </x:c>
      <x:c r="I25" s="17" t="inlineStr">
        <x:is>
          <x:t xml:space="preserve">D</x:t>
        </x:is>
      </x:c>
      <x:c r="J25" s="17" t="inlineStr">
        <x:is>
          <x:t xml:space="preserve">B</x:t>
        </x:is>
      </x:c>
      <x:c r="K25" s="17" t="inlineStr">
        <x:is>
          <x:t xml:space="preserve">C</x:t>
        </x:is>
      </x:c>
      <x:c r="L25" s="17" t="inlineStr">
        <x:is>
          <x:t xml:space="preserve">A</x:t>
        </x:is>
      </x:c>
      <x:c r="M25" s="17" t="inlineStr">
        <x:is>
          <x:t xml:space="preserve">B</x:t>
        </x:is>
      </x:c>
      <x:c r="N25" s="17" t="inlineStr">
        <x:is>
          <x:t xml:space="preserve">C</x:t>
        </x:is>
      </x:c>
      <x:c r="O25" s="17" t="inlineStr">
        <x:is>
          <x:t xml:space="preserve">C</x:t>
        </x:is>
      </x:c>
      <x:c r="P25" s="17" t="inlineStr">
        <x:is>
          <x:t xml:space="preserve">B</x:t>
        </x:is>
      </x:c>
      <x:c r="Q25" s="12">
        <x:f>--(E25='Bank Soal'!$K$17)+--(F25='Bank Soal'!$K$18)+--(G25='Bank Soal'!$K$19)+--(H25='Bank Soal'!$K$20)+--(I25='Bank Soal'!$K$21)+--(J25='Bank Soal'!$K$22)+--(K25='Bank Soal'!$K$23)+--(L25='Bank Soal'!$K$24)+--(M25='Bank Soal'!$K$25)+--(N25='Bank Soal'!$K$26)+--(O25='Bank Soal'!$K$27)+--(P25='Bank Soal'!$K$28)</x:f>
        <x:v>11</x:v>
      </x:c>
      <x:c r="R25" s="18">
        <x:f>IF(Q25="",0,Q25/12)</x:f>
        <x:v>0.9166666666666666</x:v>
      </x:c>
      <x:c r="S25" s="19" t="str">
        <x:f>IF(R25=0,"",IF(R25&gt;=0.8,"Lulus",IF(R25&gt;=0.6,"Perlu Penguatan","Perlu Remedial")))</x:f>
        <x:v>Lulus</x:v>
      </x:c>
      <x:c r="T25" s="13" t="inlineStr">
        <x:is>
          <x:t xml:space="preserve"/>
        </x:is>
      </x:c>
    </x:row>
    <x:row r="26" ht="24" customHeight="1">
      <x:c r="A26" s="12" t="n">
        <x:v>10</x:v>
      </x:c>
      <x:c r="B26" s="13" t="inlineStr">
        <x:is>
          <x:t xml:space="preserve">Fikri Ramadhan</x:t>
        </x:is>
      </x:c>
      <x:c r="C26" s="13" t="inlineStr">
        <x:is>
          <x:t xml:space="preserve">Client Success</x:t>
        </x:is>
      </x:c>
      <x:c r="D26" s="12" t="inlineStr">
        <x:is>
          <x:t xml:space="preserve">30-Apr-2026</x:t>
        </x:is>
      </x:c>
      <x:c r="E26" s="17" t="inlineStr">
        <x:is>
          <x:t xml:space="preserve">A</x:t>
        </x:is>
      </x:c>
      <x:c r="F26" s="17" t="inlineStr">
        <x:is>
          <x:t xml:space="preserve">C</x:t>
        </x:is>
      </x:c>
      <x:c r="G26" s="17" t="inlineStr">
        <x:is>
          <x:t xml:space="preserve">B</x:t>
        </x:is>
      </x:c>
      <x:c r="H26" s="17" t="inlineStr">
        <x:is>
          <x:t xml:space="preserve">B</x:t>
        </x:is>
      </x:c>
      <x:c r="I26" s="17" t="inlineStr">
        <x:is>
          <x:t xml:space="preserve">A</x:t>
        </x:is>
      </x:c>
      <x:c r="J26" s="17" t="inlineStr">
        <x:is>
          <x:t xml:space="preserve">B</x:t>
        </x:is>
      </x:c>
      <x:c r="K26" s="17" t="inlineStr">
        <x:is>
          <x:t xml:space="preserve">C</x:t>
        </x:is>
      </x:c>
      <x:c r="L26" s="17" t="inlineStr">
        <x:is>
          <x:t xml:space="preserve">B</x:t>
        </x:is>
      </x:c>
      <x:c r="M26" s="17" t="inlineStr">
        <x:is>
          <x:t xml:space="preserve">B</x:t>
        </x:is>
      </x:c>
      <x:c r="N26" s="17" t="inlineStr">
        <x:is>
          <x:t xml:space="preserve">A</x:t>
        </x:is>
      </x:c>
      <x:c r="O26" s="17" t="inlineStr">
        <x:is>
          <x:t xml:space="preserve">C</x:t>
        </x:is>
      </x:c>
      <x:c r="P26" s="17" t="inlineStr">
        <x:is>
          <x:t xml:space="preserve">B</x:t>
        </x:is>
      </x:c>
      <x:c r="Q26" s="12">
        <x:f>--(E26='Bank Soal'!$K$17)+--(F26='Bank Soal'!$K$18)+--(G26='Bank Soal'!$K$19)+--(H26='Bank Soal'!$K$20)+--(I26='Bank Soal'!$K$21)+--(J26='Bank Soal'!$K$22)+--(K26='Bank Soal'!$K$23)+--(L26='Bank Soal'!$K$24)+--(M26='Bank Soal'!$K$25)+--(N26='Bank Soal'!$K$26)+--(O26='Bank Soal'!$K$27)+--(P26='Bank Soal'!$K$28)</x:f>
        <x:v>10</x:v>
      </x:c>
      <x:c r="R26" s="18">
        <x:f>IF(Q26="",0,Q26/12)</x:f>
        <x:v>0.8333333333333334</x:v>
      </x:c>
      <x:c r="S26" s="19" t="str">
        <x:f>IF(R26=0,"",IF(R26&gt;=0.8,"Lulus",IF(R26&gt;=0.6,"Perlu Penguatan","Perlu Remedial")))</x:f>
        <x:v>Lulus</x:v>
      </x:c>
      <x:c r="T26" s="13" t="inlineStr">
        <x:is>
          <x:t xml:space="preserve"/>
        </x:is>
      </x:c>
    </x:row>
    <x:row r="27" ht="24" customHeight="1">
      <x:c r="A27" s="12" t="n">
        <x:v>11</x:v>
      </x:c>
      <x:c r="B27" s="13" t="inlineStr">
        <x:is>
          <x:t xml:space="preserve">Salsa Maharani</x:t>
        </x:is>
      </x:c>
      <x:c r="C27" s="13" t="inlineStr">
        <x:is>
          <x:t xml:space="preserve">Community Officer</x:t>
        </x:is>
      </x:c>
      <x:c r="D27" s="12" t="inlineStr">
        <x:is>
          <x:t xml:space="preserve">30-Apr-2026</x:t>
        </x:is>
      </x:c>
      <x:c r="E27" s="17" t="inlineStr">
        <x:is>
          <x:t xml:space="preserve">C</x:t>
        </x:is>
      </x:c>
      <x:c r="F27" s="17" t="inlineStr">
        <x:is>
          <x:t xml:space="preserve">C</x:t>
        </x:is>
      </x:c>
      <x:c r="G27" s="17" t="inlineStr">
        <x:is>
          <x:t xml:space="preserve">B</x:t>
        </x:is>
      </x:c>
      <x:c r="H27" s="17" t="inlineStr">
        <x:is>
          <x:t xml:space="preserve">B</x:t>
        </x:is>
      </x:c>
      <x:c r="I27" s="17" t="inlineStr">
        <x:is>
          <x:t xml:space="preserve">A</x:t>
        </x:is>
      </x:c>
      <x:c r="J27" s="17" t="inlineStr">
        <x:is>
          <x:t xml:space="preserve">D</x:t>
        </x:is>
      </x:c>
      <x:c r="K27" s="17" t="inlineStr">
        <x:is>
          <x:t xml:space="preserve">C</x:t>
        </x:is>
      </x:c>
      <x:c r="L27" s="17" t="inlineStr">
        <x:is>
          <x:t xml:space="preserve">C</x:t>
        </x:is>
      </x:c>
      <x:c r="M27" s="17" t="inlineStr">
        <x:is>
          <x:t xml:space="preserve">B</x:t>
        </x:is>
      </x:c>
      <x:c r="N27" s="17" t="inlineStr">
        <x:is>
          <x:t xml:space="preserve">D</x:t>
        </x:is>
      </x:c>
      <x:c r="O27" s="17" t="inlineStr">
        <x:is>
          <x:t xml:space="preserve">C</x:t>
        </x:is>
      </x:c>
      <x:c r="P27" s="17" t="inlineStr">
        <x:is>
          <x:t xml:space="preserve">B</x:t>
        </x:is>
      </x:c>
      <x:c r="Q27" s="12">
        <x:f>--(E27='Bank Soal'!$K$17)+--(F27='Bank Soal'!$K$18)+--(G27='Bank Soal'!$K$19)+--(H27='Bank Soal'!$K$20)+--(I27='Bank Soal'!$K$21)+--(J27='Bank Soal'!$K$22)+--(K27='Bank Soal'!$K$23)+--(L27='Bank Soal'!$K$24)+--(M27='Bank Soal'!$K$25)+--(N27='Bank Soal'!$K$26)+--(O27='Bank Soal'!$K$27)+--(P27='Bank Soal'!$K$28)</x:f>
        <x:v>8</x:v>
      </x:c>
      <x:c r="R27" s="18">
        <x:f>IF(Q27="",0,Q27/12)</x:f>
        <x:v>0.6666666666666666</x:v>
      </x:c>
      <x:c r="S27" s="19" t="str">
        <x:f>IF(R27=0,"",IF(R27&gt;=0.8,"Lulus",IF(R27&gt;=0.6,"Perlu Penguatan","Perlu Remedial")))</x:f>
        <x:v>Perlu Penguatan</x:v>
      </x:c>
      <x:c r="T27" s="13" t="inlineStr">
        <x:is>
          <x:t xml:space="preserve"/>
        </x:is>
      </x:c>
    </x:row>
    <x:row r="28" ht="24" customHeight="1">
      <x:c r="A28" s="12" t="n">
        <x:v>12</x:v>
      </x:c>
      <x:c r="B28" s="13" t="inlineStr">
        <x:is>
          <x:t xml:space="preserve">Galih Pranata</x:t>
        </x:is>
      </x:c>
      <x:c r="C28" s="13" t="inlineStr">
        <x:is>
          <x:t xml:space="preserve">Operations</x:t>
        </x:is>
      </x:c>
      <x:c r="D28" s="12" t="inlineStr">
        <x:is>
          <x:t xml:space="preserve">30-Apr-2026</x:t>
        </x:is>
      </x:c>
      <x:c r="E28" s="17" t="inlineStr">
        <x:is>
          <x:t xml:space="preserve">A</x:t>
        </x:is>
      </x:c>
      <x:c r="F28" s="17" t="inlineStr">
        <x:is>
          <x:t xml:space="preserve">C</x:t>
        </x:is>
      </x:c>
      <x:c r="G28" s="17" t="inlineStr">
        <x:is>
          <x:t xml:space="preserve">B</x:t>
        </x:is>
      </x:c>
      <x:c r="H28" s="17" t="inlineStr">
        <x:is>
          <x:t xml:space="preserve">C</x:t>
        </x:is>
      </x:c>
      <x:c r="I28" s="17" t="inlineStr">
        <x:is>
          <x:t xml:space="preserve">A</x:t>
        </x:is>
      </x:c>
      <x:c r="J28" s="17" t="inlineStr">
        <x:is>
          <x:t xml:space="preserve">B</x:t>
        </x:is>
      </x:c>
      <x:c r="K28" s="17" t="inlineStr">
        <x:is>
          <x:t xml:space="preserve">C</x:t>
        </x:is>
      </x:c>
      <x:c r="L28" s="17" t="inlineStr">
        <x:is>
          <x:t xml:space="preserve">C</x:t>
        </x:is>
      </x:c>
      <x:c r="M28" s="17" t="inlineStr">
        <x:is>
          <x:t xml:space="preserve">B</x:t>
        </x:is>
      </x:c>
      <x:c r="N28" s="17" t="inlineStr">
        <x:is>
          <x:t xml:space="preserve">A</x:t>
        </x:is>
      </x:c>
      <x:c r="O28" s="17" t="inlineStr">
        <x:is>
          <x:t xml:space="preserve">C</x:t>
        </x:is>
      </x:c>
      <x:c r="P28" s="17" t="inlineStr">
        <x:is>
          <x:t xml:space="preserve">B</x:t>
        </x:is>
      </x:c>
      <x:c r="Q28" s="12">
        <x:f>--(E28='Bank Soal'!$K$17)+--(F28='Bank Soal'!$K$18)+--(G28='Bank Soal'!$K$19)+--(H28='Bank Soal'!$K$20)+--(I28='Bank Soal'!$K$21)+--(J28='Bank Soal'!$K$22)+--(K28='Bank Soal'!$K$23)+--(L28='Bank Soal'!$K$24)+--(M28='Bank Soal'!$K$25)+--(N28='Bank Soal'!$K$26)+--(O28='Bank Soal'!$K$27)+--(P28='Bank Soal'!$K$28)</x:f>
        <x:v>9</x:v>
      </x:c>
      <x:c r="R28" s="18">
        <x:f>IF(Q28="",0,Q28/12)</x:f>
        <x:v>0.75</x:v>
      </x:c>
      <x:c r="S28" s="19" t="str">
        <x:f>IF(R28=0,"",IF(R28&gt;=0.8,"Lulus",IF(R28&gt;=0.6,"Perlu Penguatan","Perlu Remedial")))</x:f>
        <x:v>Perlu Penguatan</x:v>
      </x:c>
      <x:c r="T28" s="13" t="inlineStr">
        <x:is>
          <x:t xml:space="preserve"/>
        </x:is>
      </x:c>
    </x:row>
    <x:row r="29" ht="24" customHeight="1">
      <x:c r="A29" s="12" t="n">
        <x:v>13</x:v>
      </x:c>
      <x:c r="B29" s="13" t="inlineStr">
        <x:is>
          <x:t xml:space="preserve">Tiara Anindya</x:t>
        </x:is>
      </x:c>
      <x:c r="C29" s="13" t="inlineStr">
        <x:is>
          <x:t xml:space="preserve">Admin Program</x:t>
        </x:is>
      </x:c>
      <x:c r="D29" s="12" t="inlineStr">
        <x:is>
          <x:t xml:space="preserve">30-Apr-2026</x:t>
        </x:is>
      </x:c>
      <x:c r="E29" s="17" t="inlineStr">
        <x:is>
          <x:t xml:space="preserve">A</x:t>
        </x:is>
      </x:c>
      <x:c r="F29" s="17" t="inlineStr">
        <x:is>
          <x:t xml:space="preserve">D</x:t>
        </x:is>
      </x:c>
      <x:c r="G29" s="17" t="inlineStr">
        <x:is>
          <x:t xml:space="preserve">B</x:t>
        </x:is>
      </x:c>
      <x:c r="H29" s="17" t="inlineStr">
        <x:is>
          <x:t xml:space="preserve">C</x:t>
        </x:is>
      </x:c>
      <x:c r="I29" s="17" t="inlineStr">
        <x:is>
          <x:t xml:space="preserve">A</x:t>
        </x:is>
      </x:c>
      <x:c r="J29" s="17" t="inlineStr">
        <x:is>
          <x:t xml:space="preserve">D</x:t>
        </x:is>
      </x:c>
      <x:c r="K29" s="17" t="inlineStr">
        <x:is>
          <x:t xml:space="preserve">D</x:t>
        </x:is>
      </x:c>
      <x:c r="L29" s="17" t="inlineStr">
        <x:is>
          <x:t xml:space="preserve">A</x:t>
        </x:is>
      </x:c>
      <x:c r="M29" s="17" t="inlineStr">
        <x:is>
          <x:t xml:space="preserve">B</x:t>
        </x:is>
      </x:c>
      <x:c r="N29" s="17" t="inlineStr">
        <x:is>
          <x:t xml:space="preserve">C</x:t>
        </x:is>
      </x:c>
      <x:c r="O29" s="17" t="inlineStr">
        <x:is>
          <x:t xml:space="preserve">C</x:t>
        </x:is>
      </x:c>
      <x:c r="P29" s="17" t="inlineStr">
        <x:is>
          <x:t xml:space="preserve">D</x:t>
        </x:is>
      </x:c>
      <x:c r="Q29" s="12">
        <x:f>--(E29='Bank Soal'!$K$17)+--(F29='Bank Soal'!$K$18)+--(G29='Bank Soal'!$K$19)+--(H29='Bank Soal'!$K$20)+--(I29='Bank Soal'!$K$21)+--(J29='Bank Soal'!$K$22)+--(K29='Bank Soal'!$K$23)+--(L29='Bank Soal'!$K$24)+--(M29='Bank Soal'!$K$25)+--(N29='Bank Soal'!$K$26)+--(O29='Bank Soal'!$K$27)+--(P29='Bank Soal'!$K$28)</x:f>
        <x:v>7</x:v>
      </x:c>
      <x:c r="R29" s="18">
        <x:f>IF(Q29="",0,Q29/12)</x:f>
        <x:v>0.5833333333333334</x:v>
      </x:c>
      <x:c r="S29" s="19" t="str">
        <x:f>IF(R29=0,"",IF(R29&gt;=0.8,"Lulus",IF(R29&gt;=0.6,"Perlu Penguatan","Perlu Remedial")))</x:f>
        <x:v>Perlu Remedial</x:v>
      </x:c>
      <x:c r="T29" s="13" t="inlineStr">
        <x:is>
          <x:t xml:space="preserve"/>
        </x:is>
      </x:c>
    </x:row>
    <x:row r="30" ht="24" customHeight="1">
      <x:c r="A30" s="12" t="n">
        <x:v>14</x:v>
      </x:c>
      <x:c r="B30" s="13" t="inlineStr">
        <x:is>
          <x:t xml:space="preserve">Arga Wicaksono</x:t>
        </x:is>
      </x:c>
      <x:c r="C30" s="13" t="inlineStr">
        <x:is>
          <x:t xml:space="preserve">Partnership</x:t>
        </x:is>
      </x:c>
      <x:c r="D30" s="12" t="inlineStr">
        <x:is>
          <x:t xml:space="preserve">30-Apr-2026</x:t>
        </x:is>
      </x:c>
      <x:c r="E30" s="17" t="inlineStr">
        <x:is>
          <x:t xml:space="preserve">A</x:t>
        </x:is>
      </x:c>
      <x:c r="F30" s="17" t="inlineStr">
        <x:is>
          <x:t xml:space="preserve">B</x:t>
        </x:is>
      </x:c>
      <x:c r="G30" s="17" t="inlineStr">
        <x:is>
          <x:t xml:space="preserve">B</x:t>
        </x:is>
      </x:c>
      <x:c r="H30" s="17" t="inlineStr">
        <x:is>
          <x:t xml:space="preserve">B</x:t>
        </x:is>
      </x:c>
      <x:c r="I30" s="17" t="inlineStr">
        <x:is>
          <x:t xml:space="preserve">A</x:t>
        </x:is>
      </x:c>
      <x:c r="J30" s="17" t="inlineStr">
        <x:is>
          <x:t xml:space="preserve">B</x:t>
        </x:is>
      </x:c>
      <x:c r="K30" s="17" t="inlineStr">
        <x:is>
          <x:t xml:space="preserve">C</x:t>
        </x:is>
      </x:c>
      <x:c r="L30" s="17" t="inlineStr">
        <x:is>
          <x:t xml:space="preserve">A</x:t>
        </x:is>
      </x:c>
      <x:c r="M30" s="17" t="inlineStr">
        <x:is>
          <x:t xml:space="preserve">B</x:t>
        </x:is>
      </x:c>
      <x:c r="N30" s="17" t="inlineStr">
        <x:is>
          <x:t xml:space="preserve">B</x:t>
        </x:is>
      </x:c>
      <x:c r="O30" s="17" t="inlineStr">
        <x:is>
          <x:t xml:space="preserve">C</x:t>
        </x:is>
      </x:c>
      <x:c r="P30" s="17" t="inlineStr">
        <x:is>
          <x:t xml:space="preserve">B</x:t>
        </x:is>
      </x:c>
      <x:c r="Q30" s="12">
        <x:f>--(E30='Bank Soal'!$K$17)+--(F30='Bank Soal'!$K$18)+--(G30='Bank Soal'!$K$19)+--(H30='Bank Soal'!$K$20)+--(I30='Bank Soal'!$K$21)+--(J30='Bank Soal'!$K$22)+--(K30='Bank Soal'!$K$23)+--(L30='Bank Soal'!$K$24)+--(M30='Bank Soal'!$K$25)+--(N30='Bank Soal'!$K$26)+--(O30='Bank Soal'!$K$27)+--(P30='Bank Soal'!$K$28)</x:f>
        <x:v>10</x:v>
      </x:c>
      <x:c r="R30" s="18">
        <x:f>IF(Q30="",0,Q30/12)</x:f>
        <x:v>0.8333333333333334</x:v>
      </x:c>
      <x:c r="S30" s="19" t="str">
        <x:f>IF(R30=0,"",IF(R30&gt;=0.8,"Lulus",IF(R30&gt;=0.6,"Perlu Penguatan","Perlu Remedial")))</x:f>
        <x:v>Lulus</x:v>
      </x:c>
      <x:c r="T30" s="13" t="inlineStr">
        <x:is>
          <x:t xml:space="preserve"/>
        </x:is>
      </x:c>
    </x:row>
    <x:row r="31" ht="24" customHeight="1">
      <x:c r="A31" s="12" t="n">
        <x:v>15</x:v>
      </x:c>
      <x:c r="B31" s="13" t="inlineStr">
        <x:is>
          <x:t xml:space="preserve">Melati Ayuningtyas</x:t>
        </x:is>
      </x:c>
      <x:c r="C31" s="13" t="inlineStr">
        <x:is>
          <x:t xml:space="preserve">Fasilitator</x:t>
        </x:is>
      </x:c>
      <x:c r="D31" s="12" t="inlineStr">
        <x:is>
          <x:t xml:space="preserve">30-Apr-2026</x:t>
        </x:is>
      </x:c>
      <x:c r="E31" s="17" t="inlineStr">
        <x:is>
          <x:t xml:space="preserve">A</x:t>
        </x:is>
      </x:c>
      <x:c r="F31" s="17" t="inlineStr">
        <x:is>
          <x:t xml:space="preserve">C</x:t>
        </x:is>
      </x:c>
      <x:c r="G31" s="17" t="inlineStr">
        <x:is>
          <x:t xml:space="preserve">D</x:t>
        </x:is>
      </x:c>
      <x:c r="H31" s="17" t="inlineStr">
        <x:is>
          <x:t xml:space="preserve">B</x:t>
        </x:is>
      </x:c>
      <x:c r="I31" s="17" t="inlineStr">
        <x:is>
          <x:t xml:space="preserve">A</x:t>
        </x:is>
      </x:c>
      <x:c r="J31" s="17" t="inlineStr">
        <x:is>
          <x:t xml:space="preserve">B</x:t>
        </x:is>
      </x:c>
      <x:c r="K31" s="17" t="inlineStr">
        <x:is>
          <x:t xml:space="preserve">C</x:t>
        </x:is>
      </x:c>
      <x:c r="L31" s="17" t="inlineStr">
        <x:is>
          <x:t xml:space="preserve">A</x:t>
        </x:is>
      </x:c>
      <x:c r="M31" s="17" t="inlineStr">
        <x:is>
          <x:t xml:space="preserve">B</x:t>
        </x:is>
      </x:c>
      <x:c r="N31" s="17" t="inlineStr">
        <x:is>
          <x:t xml:space="preserve">C</x:t>
        </x:is>
      </x:c>
      <x:c r="O31" s="17" t="inlineStr">
        <x:is>
          <x:t xml:space="preserve">C</x:t>
        </x:is>
      </x:c>
      <x:c r="P31" s="17" t="inlineStr">
        <x:is>
          <x:t xml:space="preserve">B</x:t>
        </x:is>
      </x:c>
      <x:c r="Q31" s="12">
        <x:f>--(E31='Bank Soal'!$K$17)+--(F31='Bank Soal'!$K$18)+--(G31='Bank Soal'!$K$19)+--(H31='Bank Soal'!$K$20)+--(I31='Bank Soal'!$K$21)+--(J31='Bank Soal'!$K$22)+--(K31='Bank Soal'!$K$23)+--(L31='Bank Soal'!$K$24)+--(M31='Bank Soal'!$K$25)+--(N31='Bank Soal'!$K$26)+--(O31='Bank Soal'!$K$27)+--(P31='Bank Soal'!$K$28)</x:f>
        <x:v>11</x:v>
      </x:c>
      <x:c r="R31" s="18">
        <x:f>IF(Q31="",0,Q31/12)</x:f>
        <x:v>0.9166666666666666</x:v>
      </x:c>
      <x:c r="S31" s="19" t="str">
        <x:f>IF(R31=0,"",IF(R31&gt;=0.8,"Lulus",IF(R31&gt;=0.6,"Perlu Penguatan","Perlu Remedial")))</x:f>
        <x:v>Lulus</x:v>
      </x:c>
      <x:c r="T31" s="13" t="inlineStr">
        <x:is>
          <x:t xml:space="preserve"/>
        </x:is>
      </x:c>
    </x:row>
    <x:row r="32" ht="24" customHeight="1">
      <x:c r="A32" s="12" t="n">
        <x:v>16</x:v>
      </x:c>
      <x:c r="B32" s="13" t="inlineStr">
        <x:is>
          <x:t xml:space="preserve">Yudha Prakoso</x:t>
        </x:is>
      </x:c>
      <x:c r="C32" s="13" t="inlineStr">
        <x:is>
          <x:t xml:space="preserve">Customer Care</x:t>
        </x:is>
      </x:c>
      <x:c r="D32" s="12" t="inlineStr">
        <x:is>
          <x:t xml:space="preserve">30-Apr-2026</x:t>
        </x:is>
      </x:c>
      <x:c r="E32" s="17" t="inlineStr">
        <x:is>
          <x:t xml:space="preserve">D</x:t>
        </x:is>
      </x:c>
      <x:c r="F32" s="17" t="inlineStr">
        <x:is>
          <x:t xml:space="preserve">C</x:t>
        </x:is>
      </x:c>
      <x:c r="G32" s="17" t="inlineStr">
        <x:is>
          <x:t xml:space="preserve">B</x:t>
        </x:is>
      </x:c>
      <x:c r="H32" s="17" t="inlineStr">
        <x:is>
          <x:t xml:space="preserve">B</x:t>
        </x:is>
      </x:c>
      <x:c r="I32" s="17" t="inlineStr">
        <x:is>
          <x:t xml:space="preserve">A</x:t>
        </x:is>
      </x:c>
      <x:c r="J32" s="17" t="inlineStr">
        <x:is>
          <x:t xml:space="preserve">B</x:t>
        </x:is>
      </x:c>
      <x:c r="K32" s="17" t="inlineStr">
        <x:is>
          <x:t xml:space="preserve">C</x:t>
        </x:is>
      </x:c>
      <x:c r="L32" s="17" t="inlineStr">
        <x:is>
          <x:t xml:space="preserve">C</x:t>
        </x:is>
      </x:c>
      <x:c r="M32" s="17" t="inlineStr">
        <x:is>
          <x:t xml:space="preserve">B</x:t>
        </x:is>
      </x:c>
      <x:c r="N32" s="17" t="inlineStr">
        <x:is>
          <x:t xml:space="preserve">B</x:t>
        </x:is>
      </x:c>
      <x:c r="O32" s="17" t="inlineStr">
        <x:is>
          <x:t xml:space="preserve">C</x:t>
        </x:is>
      </x:c>
      <x:c r="P32" s="17" t="inlineStr">
        <x:is>
          <x:t xml:space="preserve">D</x:t>
        </x:is>
      </x:c>
      <x:c r="Q32" s="12">
        <x:f>--(E32='Bank Soal'!$K$17)+--(F32='Bank Soal'!$K$18)+--(G32='Bank Soal'!$K$19)+--(H32='Bank Soal'!$K$20)+--(I32='Bank Soal'!$K$21)+--(J32='Bank Soal'!$K$22)+--(K32='Bank Soal'!$K$23)+--(L32='Bank Soal'!$K$24)+--(M32='Bank Soal'!$K$25)+--(N32='Bank Soal'!$K$26)+--(O32='Bank Soal'!$K$27)+--(P32='Bank Soal'!$K$28)</x:f>
        <x:v>8</x:v>
      </x:c>
      <x:c r="R32" s="18">
        <x:f>IF(Q32="",0,Q32/12)</x:f>
        <x:v>0.6666666666666666</x:v>
      </x:c>
      <x:c r="S32" s="19" t="str">
        <x:f>IF(R32=0,"",IF(R32&gt;=0.8,"Lulus",IF(R32&gt;=0.6,"Perlu Penguatan","Perlu Remedial")))</x:f>
        <x:v>Perlu Penguatan</x:v>
      </x:c>
      <x:c r="T32" s="13" t="inlineStr">
        <x:is>
          <x:t xml:space="preserve"/>
        </x:is>
      </x:c>
    </x:row>
    <x:row r="33" ht="24" customHeight="1">
      <x:c r="A33" s="12" t="n">
        <x:v>17</x:v>
      </x:c>
      <x:c r="B33" s="13" t="inlineStr">
        <x:is>
          <x:t xml:space="preserve">Saskia Amelia</x:t>
        </x:is>
      </x:c>
      <x:c r="C33" s="13" t="inlineStr">
        <x:is>
          <x:t xml:space="preserve">Program Support</x:t>
        </x:is>
      </x:c>
      <x:c r="D33" s="12" t="inlineStr">
        <x:is>
          <x:t xml:space="preserve">30-Apr-2026</x:t>
        </x:is>
      </x:c>
      <x:c r="E33" s="17" t="inlineStr">
        <x:is>
          <x:t xml:space="preserve">A</x:t>
        </x:is>
      </x:c>
      <x:c r="F33" s="17" t="inlineStr">
        <x:is>
          <x:t xml:space="preserve">C</x:t>
        </x:is>
      </x:c>
      <x:c r="G33" s="17" t="inlineStr">
        <x:is>
          <x:t xml:space="preserve">C</x:t>
        </x:is>
      </x:c>
      <x:c r="H33" s="17" t="inlineStr">
        <x:is>
          <x:t xml:space="preserve">A</x:t>
        </x:is>
      </x:c>
      <x:c r="I33" s="17" t="inlineStr">
        <x:is>
          <x:t xml:space="preserve">D</x:t>
        </x:is>
      </x:c>
      <x:c r="J33" s="17" t="inlineStr">
        <x:is>
          <x:t xml:space="preserve">B</x:t>
        </x:is>
      </x:c>
      <x:c r="K33" s="17" t="inlineStr">
        <x:is>
          <x:t xml:space="preserve">C</x:t>
        </x:is>
      </x:c>
      <x:c r="L33" s="17" t="inlineStr">
        <x:is>
          <x:t xml:space="preserve">A</x:t>
        </x:is>
      </x:c>
      <x:c r="M33" s="17" t="inlineStr">
        <x:is>
          <x:t xml:space="preserve">B</x:t>
        </x:is>
      </x:c>
      <x:c r="N33" s="17" t="inlineStr">
        <x:is>
          <x:t xml:space="preserve">C</x:t>
        </x:is>
      </x:c>
      <x:c r="O33" s="17" t="inlineStr">
        <x:is>
          <x:t xml:space="preserve">C</x:t>
        </x:is>
      </x:c>
      <x:c r="P33" s="17" t="inlineStr">
        <x:is>
          <x:t xml:space="preserve">B</x:t>
        </x:is>
      </x:c>
      <x:c r="Q33" s="12">
        <x:f>--(E33='Bank Soal'!$K$17)+--(F33='Bank Soal'!$K$18)+--(G33='Bank Soal'!$K$19)+--(H33='Bank Soal'!$K$20)+--(I33='Bank Soal'!$K$21)+--(J33='Bank Soal'!$K$22)+--(K33='Bank Soal'!$K$23)+--(L33='Bank Soal'!$K$24)+--(M33='Bank Soal'!$K$25)+--(N33='Bank Soal'!$K$26)+--(O33='Bank Soal'!$K$27)+--(P33='Bank Soal'!$K$28)</x:f>
        <x:v>9</x:v>
      </x:c>
      <x:c r="R33" s="18">
        <x:f>IF(Q33="",0,Q33/12)</x:f>
        <x:v>0.75</x:v>
      </x:c>
      <x:c r="S33" s="19" t="str">
        <x:f>IF(R33=0,"",IF(R33&gt;=0.8,"Lulus",IF(R33&gt;=0.6,"Perlu Penguatan","Perlu Remedial")))</x:f>
        <x:v>Perlu Penguatan</x:v>
      </x:c>
      <x:c r="T33" s="13" t="inlineStr">
        <x:is>
          <x:t xml:space="preserve"/>
        </x:is>
      </x:c>
    </x:row>
    <x:row r="34" ht="24" customHeight="1">
      <x:c r="A34" s="12" t="n">
        <x:v>18</x:v>
      </x:c>
      <x:c r="B34" s="13" t="inlineStr">
        <x:is>
          <x:t xml:space="preserve">Fauzan Akbar</x:t>
        </x:is>
      </x:c>
      <x:c r="C34" s="13" t="inlineStr">
        <x:is>
          <x:t xml:space="preserve">Client Support</x:t>
        </x:is>
      </x:c>
      <x:c r="D34" s="12" t="inlineStr">
        <x:is>
          <x:t xml:space="preserve">30-Apr-2026</x:t>
        </x:is>
      </x:c>
      <x:c r="E34" s="17" t="inlineStr">
        <x:is>
          <x:t xml:space="preserve">A</x:t>
        </x:is>
      </x:c>
      <x:c r="F34" s="17" t="inlineStr">
        <x:is>
          <x:t xml:space="preserve">C</x:t>
        </x:is>
      </x:c>
      <x:c r="G34" s="17" t="inlineStr">
        <x:is>
          <x:t xml:space="preserve">A</x:t>
        </x:is>
      </x:c>
      <x:c r="H34" s="17" t="inlineStr">
        <x:is>
          <x:t xml:space="preserve">B</x:t>
        </x:is>
      </x:c>
      <x:c r="I34" s="17" t="inlineStr">
        <x:is>
          <x:t xml:space="preserve">A</x:t>
        </x:is>
      </x:c>
      <x:c r="J34" s="17" t="inlineStr">
        <x:is>
          <x:t xml:space="preserve">B</x:t>
        </x:is>
      </x:c>
      <x:c r="K34" s="17" t="inlineStr">
        <x:is>
          <x:t xml:space="preserve">C</x:t>
        </x:is>
      </x:c>
      <x:c r="L34" s="17" t="inlineStr">
        <x:is>
          <x:t xml:space="preserve">A</x:t>
        </x:is>
      </x:c>
      <x:c r="M34" s="17" t="inlineStr">
        <x:is>
          <x:t xml:space="preserve">B</x:t>
        </x:is>
      </x:c>
      <x:c r="N34" s="17" t="inlineStr">
        <x:is>
          <x:t xml:space="preserve">C</x:t>
        </x:is>
      </x:c>
      <x:c r="O34" s="17" t="inlineStr">
        <x:is>
          <x:t xml:space="preserve">C</x:t>
        </x:is>
      </x:c>
      <x:c r="P34" s="17" t="inlineStr">
        <x:is>
          <x:t xml:space="preserve">C</x:t>
        </x:is>
      </x:c>
      <x:c r="Q34" s="12">
        <x:f>--(E34='Bank Soal'!$K$17)+--(F34='Bank Soal'!$K$18)+--(G34='Bank Soal'!$K$19)+--(H34='Bank Soal'!$K$20)+--(I34='Bank Soal'!$K$21)+--(J34='Bank Soal'!$K$22)+--(K34='Bank Soal'!$K$23)+--(L34='Bank Soal'!$K$24)+--(M34='Bank Soal'!$K$25)+--(N34='Bank Soal'!$K$26)+--(O34='Bank Soal'!$K$27)+--(P34='Bank Soal'!$K$28)</x:f>
        <x:v>10</x:v>
      </x:c>
      <x:c r="R34" s="18">
        <x:f>IF(Q34="",0,Q34/12)</x:f>
        <x:v>0.8333333333333334</x:v>
      </x:c>
      <x:c r="S34" s="19" t="str">
        <x:f>IF(R34=0,"",IF(R34&gt;=0.8,"Lulus",IF(R34&gt;=0.6,"Perlu Penguatan","Perlu Remedial")))</x:f>
        <x:v>Lulus</x:v>
      </x:c>
      <x:c r="T34" s="13" t="inlineStr">
        <x:is>
          <x:t xml:space="preserve"/>
        </x:is>
      </x:c>
    </x:row>
    <x:row r="35" ht="24" customHeight="1">
      <x:c r="A35" s="12" t="n">
        <x:v>19</x:v>
      </x:c>
      <x:c r="B35" s="13" t="inlineStr">
        <x:is>
          <x:t xml:space="preserve">Keysa Anjani</x:t>
        </x:is>
      </x:c>
      <x:c r="C35" s="13" t="inlineStr">
        <x:is>
          <x:t xml:space="preserve">Community Officer</x:t>
        </x:is>
      </x:c>
      <x:c r="D35" s="12" t="inlineStr">
        <x:is>
          <x:t xml:space="preserve">30-Apr-2026</x:t>
        </x:is>
      </x:c>
      <x:c r="E35" s="17" t="inlineStr">
        <x:is>
          <x:t xml:space="preserve">D</x:t>
        </x:is>
      </x:c>
      <x:c r="F35" s="17" t="inlineStr">
        <x:is>
          <x:t xml:space="preserve">C</x:t>
        </x:is>
      </x:c>
      <x:c r="G35" s="17" t="inlineStr">
        <x:is>
          <x:t xml:space="preserve">D</x:t>
        </x:is>
      </x:c>
      <x:c r="H35" s="17" t="inlineStr">
        <x:is>
          <x:t xml:space="preserve">B</x:t>
        </x:is>
      </x:c>
      <x:c r="I35" s="17" t="inlineStr">
        <x:is>
          <x:t xml:space="preserve">A</x:t>
        </x:is>
      </x:c>
      <x:c r="J35" s="17" t="inlineStr">
        <x:is>
          <x:t xml:space="preserve">D</x:t>
        </x:is>
      </x:c>
      <x:c r="K35" s="17" t="inlineStr">
        <x:is>
          <x:t xml:space="preserve">C</x:t>
        </x:is>
      </x:c>
      <x:c r="L35" s="17" t="inlineStr">
        <x:is>
          <x:t xml:space="preserve">A</x:t>
        </x:is>
      </x:c>
      <x:c r="M35" s="17" t="inlineStr">
        <x:is>
          <x:t xml:space="preserve">B</x:t>
        </x:is>
      </x:c>
      <x:c r="N35" s="17" t="inlineStr">
        <x:is>
          <x:t xml:space="preserve">B</x:t>
        </x:is>
      </x:c>
      <x:c r="O35" s="17" t="inlineStr">
        <x:is>
          <x:t xml:space="preserve">C</x:t>
        </x:is>
      </x:c>
      <x:c r="P35" s="17" t="inlineStr">
        <x:is>
          <x:t xml:space="preserve">B</x:t>
        </x:is>
      </x:c>
      <x:c r="Q35" s="12">
        <x:f>--(E35='Bank Soal'!$K$17)+--(F35='Bank Soal'!$K$18)+--(G35='Bank Soal'!$K$19)+--(H35='Bank Soal'!$K$20)+--(I35='Bank Soal'!$K$21)+--(J35='Bank Soal'!$K$22)+--(K35='Bank Soal'!$K$23)+--(L35='Bank Soal'!$K$24)+--(M35='Bank Soal'!$K$25)+--(N35='Bank Soal'!$K$26)+--(O35='Bank Soal'!$K$27)+--(P35='Bank Soal'!$K$28)</x:f>
        <x:v>8</x:v>
      </x:c>
      <x:c r="R35" s="18">
        <x:f>IF(Q35="",0,Q35/12)</x:f>
        <x:v>0.6666666666666666</x:v>
      </x:c>
      <x:c r="S35" s="19" t="str">
        <x:f>IF(R35=0,"",IF(R35&gt;=0.8,"Lulus",IF(R35&gt;=0.6,"Perlu Penguatan","Perlu Remedial")))</x:f>
        <x:v>Perlu Penguatan</x:v>
      </x:c>
      <x:c r="T35" s="13" t="inlineStr">
        <x:is>
          <x:t xml:space="preserve"/>
        </x:is>
      </x:c>
    </x:row>
    <x:row r="36" ht="24" customHeight="1">
      <x:c r="A36" s="12" t="n">
        <x:v>20</x:v>
      </x:c>
      <x:c r="B36" s="13" t="inlineStr">
        <x:is>
          <x:t xml:space="preserve">Reza Mahendra</x:t>
        </x:is>
      </x:c>
      <x:c r="C36" s="13" t="inlineStr">
        <x:is>
          <x:t xml:space="preserve">Operations</x:t>
        </x:is>
      </x:c>
      <x:c r="D36" s="12" t="inlineStr">
        <x:is>
          <x:t xml:space="preserve">30-Apr-2026</x:t>
        </x:is>
      </x:c>
      <x:c r="E36" s="17" t="inlineStr">
        <x:is>
          <x:t xml:space="preserve">A</x:t>
        </x:is>
      </x:c>
      <x:c r="F36" s="17" t="inlineStr">
        <x:is>
          <x:t xml:space="preserve">C</x:t>
        </x:is>
      </x:c>
      <x:c r="G36" s="17" t="inlineStr">
        <x:is>
          <x:t xml:space="preserve">C</x:t>
        </x:is>
      </x:c>
      <x:c r="H36" s="17" t="inlineStr">
        <x:is>
          <x:t xml:space="preserve">B</x:t>
        </x:is>
      </x:c>
      <x:c r="I36" s="17" t="inlineStr">
        <x:is>
          <x:t xml:space="preserve">C</x:t>
        </x:is>
      </x:c>
      <x:c r="J36" s="17" t="inlineStr">
        <x:is>
          <x:t xml:space="preserve">B</x:t>
        </x:is>
      </x:c>
      <x:c r="K36" s="17" t="inlineStr">
        <x:is>
          <x:t xml:space="preserve">C</x:t>
        </x:is>
      </x:c>
      <x:c r="L36" s="17" t="inlineStr">
        <x:is>
          <x:t xml:space="preserve">A</x:t>
        </x:is>
      </x:c>
      <x:c r="M36" s="17" t="inlineStr">
        <x:is>
          <x:t xml:space="preserve">C</x:t>
        </x:is>
      </x:c>
      <x:c r="N36" s="17" t="inlineStr">
        <x:is>
          <x:t xml:space="preserve">B</x:t>
        </x:is>
      </x:c>
      <x:c r="O36" s="17" t="inlineStr">
        <x:is>
          <x:t xml:space="preserve">B</x:t>
        </x:is>
      </x:c>
      <x:c r="P36" s="17" t="inlineStr">
        <x:is>
          <x:t xml:space="preserve">B</x:t>
        </x:is>
      </x:c>
      <x:c r="Q36" s="12">
        <x:f>--(E36='Bank Soal'!$K$17)+--(F36='Bank Soal'!$K$18)+--(G36='Bank Soal'!$K$19)+--(H36='Bank Soal'!$K$20)+--(I36='Bank Soal'!$K$21)+--(J36='Bank Soal'!$K$22)+--(K36='Bank Soal'!$K$23)+--(L36='Bank Soal'!$K$24)+--(M36='Bank Soal'!$K$25)+--(N36='Bank Soal'!$K$26)+--(O36='Bank Soal'!$K$27)+--(P36='Bank Soal'!$K$28)</x:f>
        <x:v>7</x:v>
      </x:c>
      <x:c r="R36" s="18">
        <x:f>IF(Q36="",0,Q36/12)</x:f>
        <x:v>0.5833333333333334</x:v>
      </x:c>
      <x:c r="S36" s="19" t="str">
        <x:f>IF(R36=0,"",IF(R36&gt;=0.8,"Lulus",IF(R36&gt;=0.6,"Perlu Penguatan","Perlu Remedial")))</x:f>
        <x:v>Perlu Remedial</x:v>
      </x:c>
      <x:c r="T36" s="13" t="inlineStr">
        <x:is>
          <x:t xml:space="preserve"/>
        </x:is>
      </x:c>
    </x:row>
    <x:row r="37" ht="24" customHeight="1">
      <x:c r="A37" s="12" t="n">
        <x:v>21</x:v>
      </x:c>
      <x:c r="B37" s="13" t="n"/>
      <x:c r="C37" s="13" t="n"/>
      <x:c r="D37" s="12" t="n"/>
      <x:c r="E37" s="17" t="n"/>
      <x:c r="F37" s="17" t="n"/>
      <x:c r="G37" s="17" t="n"/>
      <x:c r="H37" s="17" t="n"/>
      <x:c r="I37" s="17" t="n"/>
      <x:c r="J37" s="17" t="n"/>
      <x:c r="K37" s="17" t="n"/>
      <x:c r="L37" s="17" t="n"/>
      <x:c r="M37" s="17" t="n"/>
      <x:c r="N37" s="17" t="n"/>
      <x:c r="O37" s="17" t="n"/>
      <x:c r="P37" s="17" t="n"/>
      <x:c r="Q37" s="12">
        <x:f>IF(COUNTA(E37:P37)=0,"",--(E37='Bank Soal'!$K$17)+--(F37='Bank Soal'!$K$18)+--(G37='Bank Soal'!$K$19)+--(H37='Bank Soal'!$K$20)+--(I37='Bank Soal'!$K$21)+--(J37='Bank Soal'!$K$22)+--(K37='Bank Soal'!$K$23)+--(L37='Bank Soal'!$K$24)+--(M37='Bank Soal'!$K$25)+--(N37='Bank Soal'!$K$26)+--(O37='Bank Soal'!$K$27)+--(P37='Bank Soal'!$K$28))</x:f>
      </x:c>
      <x:c r="R37" s="18">
        <x:f>IF(Q37="","",Q37/12)</x:f>
      </x:c>
      <x:c r="S37" s="19">
        <x:f>IF(R37="","",IF(R37&gt;=0.8,"Lulus",IF(R37&gt;=0.6,"Perlu Penguatan","Perlu Remedial")))</x:f>
      </x:c>
      <x:c r="T37" s="13" t="n"/>
    </x:row>
    <x:row r="38" ht="24" customHeight="1">
      <x:c r="A38" s="12" t="n">
        <x:v>22</x:v>
      </x:c>
      <x:c r="B38" s="13" t="n"/>
      <x:c r="C38" s="13" t="n"/>
      <x:c r="D38" s="12" t="n"/>
      <x:c r="E38" s="17" t="n"/>
      <x:c r="F38" s="17" t="n"/>
      <x:c r="G38" s="17" t="n"/>
      <x:c r="H38" s="17" t="n"/>
      <x:c r="I38" s="17" t="n"/>
      <x:c r="J38" s="17" t="n"/>
      <x:c r="K38" s="17" t="n"/>
      <x:c r="L38" s="17" t="n"/>
      <x:c r="M38" s="17" t="n"/>
      <x:c r="N38" s="17" t="n"/>
      <x:c r="O38" s="17" t="n"/>
      <x:c r="P38" s="17" t="n"/>
      <x:c r="Q38" s="12">
        <x:f>IF(COUNTA(E38:P38)=0,"",--(E38='Bank Soal'!$K$17)+--(F38='Bank Soal'!$K$18)+--(G38='Bank Soal'!$K$19)+--(H38='Bank Soal'!$K$20)+--(I38='Bank Soal'!$K$21)+--(J38='Bank Soal'!$K$22)+--(K38='Bank Soal'!$K$23)+--(L38='Bank Soal'!$K$24)+--(M38='Bank Soal'!$K$25)+--(N38='Bank Soal'!$K$26)+--(O38='Bank Soal'!$K$27)+--(P38='Bank Soal'!$K$28))</x:f>
      </x:c>
      <x:c r="R38" s="18">
        <x:f>IF(Q38="","",Q38/12)</x:f>
      </x:c>
      <x:c r="S38" s="19">
        <x:f>IF(R38="","",IF(R38&gt;=0.8,"Lulus",IF(R38&gt;=0.6,"Perlu Penguatan","Perlu Remedial")))</x:f>
      </x:c>
      <x:c r="T38" s="13" t="n"/>
    </x:row>
    <x:row r="39" ht="24" customHeight="1">
      <x:c r="A39" s="12" t="n">
        <x:v>23</x:v>
      </x:c>
      <x:c r="B39" s="13" t="n"/>
      <x:c r="C39" s="13" t="n"/>
      <x:c r="D39" s="12" t="n"/>
      <x:c r="E39" s="17" t="n"/>
      <x:c r="F39" s="17" t="n"/>
      <x:c r="G39" s="17" t="n"/>
      <x:c r="H39" s="17" t="n"/>
      <x:c r="I39" s="17" t="n"/>
      <x:c r="J39" s="17" t="n"/>
      <x:c r="K39" s="17" t="n"/>
      <x:c r="L39" s="17" t="n"/>
      <x:c r="M39" s="17" t="n"/>
      <x:c r="N39" s="17" t="n"/>
      <x:c r="O39" s="17" t="n"/>
      <x:c r="P39" s="17" t="n"/>
      <x:c r="Q39" s="12">
        <x:f>IF(COUNTA(E39:P39)=0,"",--(E39='Bank Soal'!$K$17)+--(F39='Bank Soal'!$K$18)+--(G39='Bank Soal'!$K$19)+--(H39='Bank Soal'!$K$20)+--(I39='Bank Soal'!$K$21)+--(J39='Bank Soal'!$K$22)+--(K39='Bank Soal'!$K$23)+--(L39='Bank Soal'!$K$24)+--(M39='Bank Soal'!$K$25)+--(N39='Bank Soal'!$K$26)+--(O39='Bank Soal'!$K$27)+--(P39='Bank Soal'!$K$28))</x:f>
      </x:c>
      <x:c r="R39" s="18">
        <x:f>IF(Q39="","",Q39/12)</x:f>
      </x:c>
      <x:c r="S39" s="19">
        <x:f>IF(R39="","",IF(R39&gt;=0.8,"Lulus",IF(R39&gt;=0.6,"Perlu Penguatan","Perlu Remedial")))</x:f>
      </x:c>
      <x:c r="T39" s="13" t="n"/>
    </x:row>
    <x:row r="40" ht="24" customHeight="1">
      <x:c r="A40" s="12" t="n">
        <x:v>24</x:v>
      </x:c>
      <x:c r="B40" s="13" t="n"/>
      <x:c r="C40" s="13" t="n"/>
      <x:c r="D40" s="12" t="n"/>
      <x:c r="E40" s="17" t="n"/>
      <x:c r="F40" s="17" t="n"/>
      <x:c r="G40" s="17" t="n"/>
      <x:c r="H40" s="17" t="n"/>
      <x:c r="I40" s="17" t="n"/>
      <x:c r="J40" s="17" t="n"/>
      <x:c r="K40" s="17" t="n"/>
      <x:c r="L40" s="17" t="n"/>
      <x:c r="M40" s="17" t="n"/>
      <x:c r="N40" s="17" t="n"/>
      <x:c r="O40" s="17" t="n"/>
      <x:c r="P40" s="17" t="n"/>
      <x:c r="Q40" s="12">
        <x:f>IF(COUNTA(E40:P40)=0,"",--(E40='Bank Soal'!$K$17)+--(F40='Bank Soal'!$K$18)+--(G40='Bank Soal'!$K$19)+--(H40='Bank Soal'!$K$20)+--(I40='Bank Soal'!$K$21)+--(J40='Bank Soal'!$K$22)+--(K40='Bank Soal'!$K$23)+--(L40='Bank Soal'!$K$24)+--(M40='Bank Soal'!$K$25)+--(N40='Bank Soal'!$K$26)+--(O40='Bank Soal'!$K$27)+--(P40='Bank Soal'!$K$28))</x:f>
      </x:c>
      <x:c r="R40" s="18">
        <x:f>IF(Q40="","",Q40/12)</x:f>
      </x:c>
      <x:c r="S40" s="19">
        <x:f>IF(R40="","",IF(R40&gt;=0.8,"Lulus",IF(R40&gt;=0.6,"Perlu Penguatan","Perlu Remedial")))</x:f>
      </x:c>
      <x:c r="T40" s="13" t="n"/>
    </x:row>
    <x:row r="42">
      <x:c r="A42" s="20" t="inlineStr">
        <x:is>
          <x:t xml:space="preserve">Catatan: Ganti data simulasi dengan data aktual peserta. Seluruh rumus pada kolom Jumlah Benar, Skor, dan Status akan menyesuaikan otomatis.</x:t>
        </x:is>
      </x:c>
    </x:row>
  </x:sheetData>
  <x:mergeCells>
    <x:mergeCell ref="D11:I11"/>
    <x:mergeCell ref="C1:H2"/>
    <x:mergeCell ref="A5:P5"/>
    <x:mergeCell ref="D10:I10"/>
    <x:mergeCell ref="A6:T6"/>
    <x:mergeCell ref="A14:P14"/>
    <x:mergeCell ref="B11:C11"/>
    <x:mergeCell ref="K9:T12"/>
    <x:mergeCell ref="B10:C10"/>
    <x:mergeCell ref="D9:I9"/>
    <x:mergeCell ref="A7:T7"/>
    <x:mergeCell ref="D12:I12"/>
    <x:mergeCell ref="C3:H3"/>
    <x:mergeCell ref="B9:C9"/>
    <x:mergeCell ref="A42:T42"/>
    <x:mergeCell ref="B12:C12"/>
  </x:mergeCells>
  <x:conditionalFormatting sqref="S17:S200">
    <x:cfRule type="expression" dxfId="0" priority="1">
      <x:formula>$S17="Lulus"</x:formula>
    </x:cfRule>
    <x:cfRule type="expression" dxfId="1" priority="2">
      <x:formula>$S17="Perlu Penguatan"</x:formula>
    </x:cfRule>
    <x:cfRule type="expression" dxfId="2" priority="3">
      <x:formula>$S17="Perlu Remedial"</x:formula>
    </x:cfRule>
  </x:conditionalFormatting>
  <x:conditionalFormatting sqref="R17:R200">
    <x:cfRule type="cellIs" dxfId="0" priority="4" operator="greaterThanOrEqual">
      <x:formula>0.8</x:formula>
    </x:cfRule>
    <x:cfRule type="cellIs" dxfId="1" priority="5" operator="between">
      <x:formula>0.6</x:formula>
      <x:formula>0.7999</x:formula>
    </x:cfRule>
    <x:cfRule type="cellIs" dxfId="2" priority="6" operator="lessThan">
      <x:formula>0.6</x:formula>
    </x:cfRule>
  </x:conditionalFormatting>
  <x:dataValidations count="1">
    <x:dataValidation type="list" allowBlank="1" showDropDown="0" showInputMessage="0" showErrorMessage="0" sqref="E17:P40">
      <x:formula1>"A,B,C,D"</x:formula1>
    </x:dataValidation>
  </x:dataValidations>
  <x:pageMargins left="0.7" right="0.7" top="0.75" bottom="0.75" header="0.3" footer="0.3"/>
  <x:drawing xmlns:r="http://schemas.openxmlformats.org/officeDocument/2006/relationships" r:id="Rc68b0268fee24bc4"/>
</x:worksheet>
</file>

<file path=xl/worksheets/sheet3.xml><?xml version="1.0" encoding="utf-8"?>
<x:worksheet xmlns:x="http://schemas.openxmlformats.org/spreadsheetml/2006/main">
  <x:sheetPr>
    <x:tabColor rgb="007C3AED"/>
  </x:sheetPr>
  <x:sheetViews>
    <x:sheetView showGridLines="0" workbookViewId="0"/>
  </x:sheetViews>
  <x:sheetFormatPr baseColWidth="8" defaultRowHeight="15"/>
  <x:cols>
    <x:col min="1" max="1" width="4" customWidth="1"/>
    <x:col min="2" max="2" width="24" customWidth="1"/>
    <x:col min="3" max="3" width="18" customWidth="1"/>
    <x:col min="4" max="4" width="14" customWidth="1"/>
    <x:col min="5" max="5" width="14" customWidth="1"/>
    <x:col min="6" max="6" width="18" customWidth="1"/>
    <x:col min="7" max="7" width="20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4" customWidth="1"/>
    <x:col min="14" max="14" width="16" customWidth="1"/>
    <x:col min="15" max="15" width="16" customWidth="1"/>
    <x:col min="16" max="16" width="14" customWidth="1"/>
  </x:cols>
  <x:sheetData>
    <x:row r="1" ht="26" customHeight="1">
      <x:c r="C1" s="1" t="inlineStr">
        <x:is>
          <x:t xml:space="preserve">EIGHTEEN REKRUTMEN ASIA</x:t>
        </x:is>
      </x:c>
    </x:row>
    <x:row r="2" ht="26" customHeight="1"/>
    <x:row r="3" ht="20" customHeight="1">
      <x:c r="C3" s="2" t="inlineStr">
        <x:is>
          <x:t xml:space="preserve">Dashboard Analisa – Level 2 Learning</x:t>
        </x:is>
      </x:c>
    </x:row>
    <x:row r="4" ht="8" customHeight="1"/>
    <x:row r="5" ht="8" customHeight="1">
      <x:c r="A5" s="38" t="n"/>
      <x:c r="B5" s="28" t="n"/>
      <x:c r="C5" s="28" t="n"/>
      <x:c r="D5" s="28" t="n"/>
      <x:c r="E5" s="28" t="n"/>
      <x:c r="F5" s="28" t="n"/>
      <x:c r="G5" s="28" t="n"/>
      <x:c r="H5" s="28" t="n"/>
      <x:c r="I5" s="28" t="n"/>
      <x:c r="J5" s="28" t="n"/>
      <x:c r="K5" s="28" t="n"/>
      <x:c r="L5" s="28" t="n"/>
      <x:c r="M5" s="28" t="n"/>
      <x:c r="N5" s="28" t="n"/>
      <x:c r="O5" s="28" t="n"/>
      <x:c r="P5" s="28" t="n"/>
    </x:row>
    <x:row r="6" ht="26" customHeight="1">
      <x:c r="A6" s="4" t="inlineStr">
        <x:is>
          <x:t xml:space="preserve">DASHBOARD ANALISA LEARNING – RELASI DIRI</x:t>
        </x:is>
      </x:c>
    </x:row>
    <x:row r="7" ht="22" customHeight="1">
      <x:c r="A7" s="21" t="inlineStr">
        <x:is>
          <x:t xml:space="preserve">Workbook ini membaca data dari sheet "Form Evaluasi" dan kunci jawaban dari sheet "Bank Soal".</x:t>
        </x:is>
      </x:c>
    </x:row>
    <x:row r="9">
      <x:c r="B9" s="22" t="inlineStr">
        <x:is>
          <x:t xml:space="preserve">Jumlah Peserta Dinilai</x:t>
        </x:is>
      </x:c>
      <x:c r="C9" s="30" t="n"/>
      <x:c r="D9" s="29" t="n"/>
      <x:c r="E9" s="22" t="inlineStr">
        <x:is>
          <x:t xml:space="preserve">Rata-rata Skor</x:t>
        </x:is>
      </x:c>
      <x:c r="F9" s="30" t="n"/>
      <x:c r="G9" s="29" t="n"/>
      <x:c r="H9" s="22" t="inlineStr">
        <x:is>
          <x:t xml:space="preserve">Skor Tertinggi</x:t>
        </x:is>
      </x:c>
      <x:c r="I9" s="30" t="n"/>
      <x:c r="J9" s="29" t="n"/>
      <x:c r="K9" s="22" t="inlineStr">
        <x:is>
          <x:t xml:space="preserve">Skor Terendah</x:t>
        </x:is>
      </x:c>
      <x:c r="L9" s="30" t="n"/>
      <x:c r="M9" s="29" t="n"/>
      <x:c r="N9" s="22" t="inlineStr">
        <x:is>
          <x:t xml:space="preserve">Tingkat Kelulusan</x:t>
        </x:is>
      </x:c>
      <x:c r="O9" s="30" t="n"/>
      <x:c r="P9" s="29" t="n"/>
    </x:row>
    <x:row r="10">
      <x:c r="B10" s="24">
        <x:f>COUNTA('Form Evaluasi'!$B$17:$B$200)</x:f>
        <x:v>20</x:v>
      </x:c>
      <x:c r="C10" s="31" t="n"/>
      <x:c r="D10" s="32" t="n"/>
      <x:c r="E10" s="25">
        <x:f>IFERROR(AVERAGEIF('Form Evaluasi'!$R$17:$R$200,"&gt;0"),0)</x:f>
        <x:v>0.7666666666666667</x:v>
      </x:c>
      <x:c r="F10" s="31" t="n"/>
      <x:c r="G10" s="32" t="n"/>
      <x:c r="H10" s="25">
        <x:f>IFERROR(MAXIFS('Form Evaluasi'!$R$17:$R$200,'Form Evaluasi'!$R$17:$R$200,"&gt;0"),0)</x:f>
        <x:v>1</x:v>
      </x:c>
      <x:c r="I10" s="31" t="n"/>
      <x:c r="J10" s="32" t="n"/>
      <x:c r="K10" s="25">
        <x:f>IF(COUNTA('Form Evaluasi'!$R$17:$R$200)=0,0,MIN('Form Evaluasi'!$R$17:$R$200))</x:f>
        <x:v>0.5833333333333334</x:v>
      </x:c>
      <x:c r="L10" s="31" t="n"/>
      <x:c r="M10" s="32" t="n"/>
      <x:c r="N10" s="25">
        <x:f>IFERROR(COUNTIF('Form Evaluasi'!$S$17:$S$200,"Lulus")/COUNTA('Form Evaluasi'!$B$17:$B$200),0)</x:f>
        <x:v>0.45</x:v>
      </x:c>
      <x:c r="O10" s="31" t="n"/>
      <x:c r="P10" s="32" t="n"/>
    </x:row>
    <x:row r="11">
      <x:c r="B11" s="33" t="n"/>
      <x:c r="D11" s="34" t="n"/>
      <x:c r="E11" s="33" t="n"/>
      <x:c r="G11" s="34" t="n"/>
      <x:c r="H11" s="33" t="n"/>
      <x:c r="J11" s="34" t="n"/>
      <x:c r="K11" s="33" t="n"/>
      <x:c r="M11" s="34" t="n"/>
      <x:c r="N11" s="33" t="n"/>
      <x:c r="P11" s="34" t="n"/>
    </x:row>
    <x:row r="12">
      <x:c r="B12" s="35" t="n"/>
      <x:c r="C12" s="36" t="n"/>
      <x:c r="D12" s="37" t="n"/>
      <x:c r="E12" s="35" t="n"/>
      <x:c r="F12" s="36" t="n"/>
      <x:c r="G12" s="37" t="n"/>
      <x:c r="H12" s="35" t="n"/>
      <x:c r="I12" s="36" t="n"/>
      <x:c r="J12" s="37" t="n"/>
      <x:c r="K12" s="35" t="n"/>
      <x:c r="L12" s="36" t="n"/>
      <x:c r="M12" s="37" t="n"/>
      <x:c r="N12" s="35" t="n"/>
      <x:c r="O12" s="36" t="n"/>
      <x:c r="P12" s="37" t="n"/>
    </x:row>
    <x:row r="14" ht="22" customHeight="1">
      <x:c r="A14" s="9" t="inlineStr">
        <x:is>
          <x:t xml:space="preserve">Analisa per Area Kompetensi</x:t>
        </x:is>
      </x:c>
    </x:row>
    <x:row r="16">
      <x:c r="B16" s="10" t="inlineStr">
        <x:is>
          <x:t xml:space="preserve">Area Kompetensi</x:t>
        </x:is>
      </x:c>
      <x:c r="C16" s="10" t="inlineStr">
        <x:is>
          <x:t xml:space="preserve">Jumlah Soal</x:t>
        </x:is>
      </x:c>
      <x:c r="D16" s="10" t="inlineStr">
        <x:is>
          <x:t xml:space="preserve">Rata-rata Ketepatan</x:t>
        </x:is>
      </x:c>
      <x:c r="E16" s="10" t="inlineStr">
        <x:is>
          <x:t xml:space="preserve">Gap ke Target 80%</x:t>
        </x:is>
      </x:c>
      <x:c r="F16" s="10" t="inlineStr">
        <x:is>
          <x:t xml:space="preserve">Status</x:t>
        </x:is>
      </x:c>
    </x:row>
    <x:row r="17">
      <x:c r="B17" s="13" t="inlineStr">
        <x:is>
          <x:t xml:space="preserve">Mengidentifikasi proses komunikasi</x:t>
        </x:is>
      </x:c>
      <x:c r="C17" s="12">
        <x:f>COUNTIF('Bank Soal'!$C$17:$C$28,B17)</x:f>
        <x:v>3</x:v>
      </x:c>
      <x:c r="D17" s="18">
        <x:f>IFERROR(AVERAGEIF($C$32:$C$43,B17,$F$32:$F$43),0)</x:f>
        <x:v>0.7333333333333334</x:v>
      </x:c>
      <x:c r="E17" s="26">
        <x:f>D17-0.8</x:f>
        <x:v>-0.06666666666666665</x:v>
      </x:c>
      <x:c r="F17" s="12" t="str">
        <x:f>IF(D17&gt;=0.8,"Kuat",IF(D17&gt;=0.6,"Cukup","Prioritas Penguatan"))</x:f>
        <x:v>Cukup</x:v>
      </x:c>
    </x:row>
    <x:row r="18">
      <x:c r="B18" s="13" t="inlineStr">
        <x:is>
          <x:t xml:space="preserve">Menangani informasi</x:t>
        </x:is>
      </x:c>
      <x:c r="C18" s="12">
        <x:f>COUNTIF('Bank Soal'!$C$17:$C$28,B18)</x:f>
        <x:v>3</x:v>
      </x:c>
      <x:c r="D18" s="18">
        <x:f>IFERROR(AVERAGEIF($C$32:$C$43,B18,$F$32:$F$43),0)</x:f>
        <x:v>0.7833333333333333</x:v>
      </x:c>
      <x:c r="E18" s="26">
        <x:f>D18-0.8</x:f>
        <x:v>-0.01666666666666672</x:v>
      </x:c>
      <x:c r="F18" s="12" t="str">
        <x:f>IF(D18&gt;=0.8,"Kuat",IF(D18&gt;=0.6,"Cukup","Prioritas Penguatan"))</x:f>
        <x:v>Cukup</x:v>
      </x:c>
    </x:row>
    <x:row r="19">
      <x:c r="B19" s="13" t="inlineStr">
        <x:is>
          <x:t xml:space="preserve">Membuat konsep komunikasi</x:t>
        </x:is>
      </x:c>
      <x:c r="C19" s="12">
        <x:f>COUNTIF('Bank Soal'!$C$17:$C$28,B19)</x:f>
        <x:v>3</x:v>
      </x:c>
      <x:c r="D19" s="18">
        <x:f>IFERROR(AVERAGEIF($C$32:$C$43,B19,$F$32:$F$43),0)</x:f>
        <x:v>0.8166666666666668</x:v>
      </x:c>
      <x:c r="E19" s="26">
        <x:f>D19-0.8</x:f>
        <x:v>0.01666666666666672</x:v>
      </x:c>
      <x:c r="F19" s="12" t="str">
        <x:f>IF(D19&gt;=0.8,"Kuat",IF(D19&gt;=0.6,"Cukup","Prioritas Penguatan"))</x:f>
        <x:v>Kuat</x:v>
      </x:c>
    </x:row>
    <x:row r="20">
      <x:c r="B20" s="13" t="inlineStr">
        <x:is>
          <x:t xml:space="preserve">Menggunakan media komunikasi</x:t>
        </x:is>
      </x:c>
      <x:c r="C20" s="12">
        <x:f>COUNTIF('Bank Soal'!$C$17:$C$28,B20)</x:f>
        <x:v>3</x:v>
      </x:c>
      <x:c r="D20" s="18">
        <x:f>IFERROR(AVERAGEIF($C$32:$C$43,B20,$F$32:$F$43),0)</x:f>
        <x:v>0.7333333333333334</x:v>
      </x:c>
      <x:c r="E20" s="26">
        <x:f>D20-0.8</x:f>
        <x:v>-0.06666666666666665</x:v>
      </x:c>
      <x:c r="F20" s="12" t="str">
        <x:f>IF(D20&gt;=0.8,"Kuat",IF(D20&gt;=0.6,"Cukup","Prioritas Penguatan"))</x:f>
        <x:v>Cukup</x:v>
      </x:c>
    </x:row>
    <x:row r="23" ht="22" customHeight="1">
      <x:c r="A23" s="9" t="inlineStr">
        <x:is>
          <x:t xml:space="preserve">Distribusi Hasil Belajar Peserta</x:t>
        </x:is>
      </x:c>
    </x:row>
    <x:row r="25">
      <x:c r="B25" s="10" t="inlineStr">
        <x:is>
          <x:t xml:space="preserve">Kategori</x:t>
        </x:is>
      </x:c>
      <x:c r="C25" s="10" t="inlineStr">
        <x:is>
          <x:t xml:space="preserve">Jumlah Peserta</x:t>
        </x:is>
      </x:c>
      <x:c r="D25" s="10" t="inlineStr">
        <x:is>
          <x:t xml:space="preserve">Persentase</x:t>
        </x:is>
      </x:c>
    </x:row>
    <x:row r="26">
      <x:c r="B26" s="13" t="inlineStr">
        <x:is>
          <x:t xml:space="preserve">Lulus</x:t>
        </x:is>
      </x:c>
      <x:c r="C26" s="12">
        <x:f>COUNTIF('Form Evaluasi'!$S$17:$S$200,"Lulus")</x:f>
        <x:v>9</x:v>
      </x:c>
      <x:c r="D26" s="18">
        <x:f>IFERROR(C26/$B$10,0)</x:f>
        <x:v>0.45</x:v>
      </x:c>
    </x:row>
    <x:row r="27">
      <x:c r="B27" s="13" t="inlineStr">
        <x:is>
          <x:t xml:space="preserve">Perlu Penguatan</x:t>
        </x:is>
      </x:c>
      <x:c r="C27" s="12">
        <x:f>COUNTIF('Form Evaluasi'!$S$17:$S$200,"Perlu Penguatan")</x:f>
        <x:v>8</x:v>
      </x:c>
      <x:c r="D27" s="18">
        <x:f>IFERROR(C27/$B$10,0)</x:f>
        <x:v>0.4</x:v>
      </x:c>
    </x:row>
    <x:row r="28">
      <x:c r="B28" s="13" t="inlineStr">
        <x:is>
          <x:t xml:space="preserve">Perlu Remedial</x:t>
        </x:is>
      </x:c>
      <x:c r="C28" s="12">
        <x:f>COUNTIF('Form Evaluasi'!$S$17:$S$200,"Perlu Remedial")</x:f>
        <x:v>3</x:v>
      </x:c>
      <x:c r="D28" s="18">
        <x:f>IFERROR(C28/$B$10,0)</x:f>
        <x:v>0.15</x:v>
      </x:c>
    </x:row>
    <x:row r="29" ht="22" customHeight="1">
      <x:c r="A29" s="9" t="inlineStr">
        <x:is>
          <x:t xml:space="preserve">Analisa Butir Soal</x:t>
        </x:is>
      </x:c>
    </x:row>
    <x:row r="31">
      <x:c r="B31" s="10" t="inlineStr">
        <x:is>
          <x:t xml:space="preserve">No</x:t>
        </x:is>
      </x:c>
      <x:c r="C31" s="10" t="inlineStr">
        <x:is>
          <x:t xml:space="preserve">Area Kompetensi</x:t>
        </x:is>
      </x:c>
      <x:c r="D31" s="10" t="inlineStr">
        <x:is>
          <x:t xml:space="preserve">Kunci</x:t>
        </x:is>
      </x:c>
      <x:c r="E31" s="10" t="inlineStr">
        <x:is>
          <x:t xml:space="preserve">Jumlah Benar</x:t>
        </x:is>
      </x:c>
      <x:c r="F31" s="10" t="inlineStr">
        <x:is>
          <x:t xml:space="preserve">Tingkat Ketepatan</x:t>
        </x:is>
      </x:c>
      <x:c r="G31" s="10" t="inlineStr">
        <x:is>
          <x:t xml:space="preserve">Interpretasi</x:t>
        </x:is>
      </x:c>
    </x:row>
    <x:row r="32">
      <x:c r="B32" s="12" t="n">
        <x:v>1</x:v>
      </x:c>
      <x:c r="C32" s="13" t="str">
        <x:f>'Bank Soal'!C17</x:f>
        <x:v>Mengidentifikasi proses komunikasi</x:v>
      </x:c>
      <x:c r="D32" s="12" t="str">
        <x:f>'Bank Soal'!K17</x:f>
        <x:v>A</x:v>
      </x:c>
      <x:c r="E32" s="12">
        <x:f>COUNTIF('Form Evaluasi'!$E$17:$E$200,D32)</x:f>
        <x:v>16</x:v>
      </x:c>
      <x:c r="F32" s="18">
        <x:f>IFERROR(E32/$B$10,0)</x:f>
        <x:v>0.8</x:v>
      </x:c>
      <x:c r="G32" s="13" t="str">
        <x:f>IF(F32&gt;=0.8,"Mudah / dikuasai",IF(F32&gt;=0.6,"Cukup dikuasai","Perlu penguatan"))</x:f>
        <x:v>Mudah / dikuasai</x:v>
      </x:c>
    </x:row>
    <x:row r="33">
      <x:c r="B33" s="12" t="n">
        <x:v>2</x:v>
      </x:c>
      <x:c r="C33" s="13" t="str">
        <x:f>'Bank Soal'!C18</x:f>
        <x:v>Mengidentifikasi proses komunikasi</x:v>
      </x:c>
      <x:c r="D33" s="12" t="str">
        <x:f>'Bank Soal'!K18</x:f>
        <x:v>C</x:v>
      </x:c>
      <x:c r="E33" s="12">
        <x:f>COUNTIF('Form Evaluasi'!$F$17:$F$200,D33)</x:f>
        <x:v>17</x:v>
      </x:c>
      <x:c r="F33" s="18">
        <x:f>IFERROR(E33/$B$10,0)</x:f>
        <x:v>0.85</x:v>
      </x:c>
      <x:c r="G33" s="13" t="str">
        <x:f>IF(F33&gt;=0.8,"Mudah / dikuasai",IF(F33&gt;=0.6,"Cukup dikuasai","Perlu penguatan"))</x:f>
        <x:v>Mudah / dikuasai</x:v>
      </x:c>
    </x:row>
    <x:row r="34">
      <x:c r="B34" s="12" t="n">
        <x:v>3</x:v>
      </x:c>
      <x:c r="C34" s="13" t="str">
        <x:f>'Bank Soal'!C19</x:f>
        <x:v>Mengidentifikasi proses komunikasi</x:v>
      </x:c>
      <x:c r="D34" s="12" t="str">
        <x:f>'Bank Soal'!K19</x:f>
        <x:v>B</x:v>
      </x:c>
      <x:c r="E34" s="12">
        <x:f>COUNTIF('Form Evaluasi'!$G$17:$G$200,D34)</x:f>
        <x:v>11</x:v>
      </x:c>
      <x:c r="F34" s="18">
        <x:f>IFERROR(E34/$B$10,0)</x:f>
        <x:v>0.55</x:v>
      </x:c>
      <x:c r="G34" s="13" t="str">
        <x:f>IF(F34&gt;=0.8,"Mudah / dikuasai",IF(F34&gt;=0.6,"Cukup dikuasai","Perlu penguatan"))</x:f>
        <x:v>Perlu penguatan</x:v>
      </x:c>
    </x:row>
    <x:row r="35">
      <x:c r="B35" s="12" t="n">
        <x:v>4</x:v>
      </x:c>
      <x:c r="C35" s="13" t="str">
        <x:f>'Bank Soal'!C20</x:f>
        <x:v>Menangani informasi</x:v>
      </x:c>
      <x:c r="D35" s="12" t="str">
        <x:f>'Bank Soal'!K20</x:f>
        <x:v>B</x:v>
      </x:c>
      <x:c r="E35" s="12">
        <x:f>COUNTIF('Form Evaluasi'!$H$17:$H$200,D35)</x:f>
        <x:v>16</x:v>
      </x:c>
      <x:c r="F35" s="18">
        <x:f>IFERROR(E35/$B$10,0)</x:f>
        <x:v>0.8</x:v>
      </x:c>
      <x:c r="G35" s="13" t="str">
        <x:f>IF(F35&gt;=0.8,"Mudah / dikuasai",IF(F35&gt;=0.6,"Cukup dikuasai","Perlu penguatan"))</x:f>
        <x:v>Mudah / dikuasai</x:v>
      </x:c>
    </x:row>
    <x:row r="36">
      <x:c r="B36" s="12" t="n">
        <x:v>5</x:v>
      </x:c>
      <x:c r="C36" s="13" t="str">
        <x:f>'Bank Soal'!C21</x:f>
        <x:v>Menangani informasi</x:v>
      </x:c>
      <x:c r="D36" s="12" t="str">
        <x:f>'Bank Soal'!K21</x:f>
        <x:v>A</x:v>
      </x:c>
      <x:c r="E36" s="12">
        <x:f>COUNTIF('Form Evaluasi'!$I$17:$I$200,D36)</x:f>
        <x:v>15</x:v>
      </x:c>
      <x:c r="F36" s="18">
        <x:f>IFERROR(E36/$B$10,0)</x:f>
        <x:v>0.75</x:v>
      </x:c>
      <x:c r="G36" s="13" t="str">
        <x:f>IF(F36&gt;=0.8,"Mudah / dikuasai",IF(F36&gt;=0.6,"Cukup dikuasai","Perlu penguatan"))</x:f>
        <x:v>Cukup dikuasai</x:v>
      </x:c>
    </x:row>
    <x:row r="37">
      <x:c r="B37" s="12" t="n">
        <x:v>6</x:v>
      </x:c>
      <x:c r="C37" s="13" t="str">
        <x:f>'Bank Soal'!C22</x:f>
        <x:v>Menangani informasi</x:v>
      </x:c>
      <x:c r="D37" s="12" t="str">
        <x:f>'Bank Soal'!K22</x:f>
        <x:v>B</x:v>
      </x:c>
      <x:c r="E37" s="12">
        <x:f>COUNTIF('Form Evaluasi'!$J$17:$J$200,D37)</x:f>
        <x:v>16</x:v>
      </x:c>
      <x:c r="F37" s="18">
        <x:f>IFERROR(E37/$B$10,0)</x:f>
        <x:v>0.8</x:v>
      </x:c>
      <x:c r="G37" s="13" t="str">
        <x:f>IF(F37&gt;=0.8,"Mudah / dikuasai",IF(F37&gt;=0.6,"Cukup dikuasai","Perlu penguatan"))</x:f>
        <x:v>Mudah / dikuasai</x:v>
      </x:c>
    </x:row>
    <x:row r="38">
      <x:c r="B38" s="12" t="n">
        <x:v>7</x:v>
      </x:c>
      <x:c r="C38" s="13" t="str">
        <x:f>'Bank Soal'!C23</x:f>
        <x:v>Membuat konsep komunikasi</x:v>
      </x:c>
      <x:c r="D38" s="12" t="str">
        <x:f>'Bank Soal'!K23</x:f>
        <x:v>C</x:v>
      </x:c>
      <x:c r="E38" s="12">
        <x:f>COUNTIF('Form Evaluasi'!$K$17:$K$200,D38)</x:f>
        <x:v>17</x:v>
      </x:c>
      <x:c r="F38" s="18">
        <x:f>IFERROR(E38/$B$10,0)</x:f>
        <x:v>0.85</x:v>
      </x:c>
      <x:c r="G38" s="13" t="str">
        <x:f>IF(F38&gt;=0.8,"Mudah / dikuasai",IF(F38&gt;=0.6,"Cukup dikuasai","Perlu penguatan"))</x:f>
        <x:v>Mudah / dikuasai</x:v>
      </x:c>
    </x:row>
    <x:row r="39">
      <x:c r="B39" s="12" t="n">
        <x:v>8</x:v>
      </x:c>
      <x:c r="C39" s="13" t="str">
        <x:f>'Bank Soal'!C24</x:f>
        <x:v>Membuat konsep komunikasi</x:v>
      </x:c>
      <x:c r="D39" s="12" t="str">
        <x:f>'Bank Soal'!K24</x:f>
        <x:v>A</x:v>
      </x:c>
      <x:c r="E39" s="12">
        <x:f>COUNTIF('Form Evaluasi'!$L$17:$L$200,D39)</x:f>
        <x:v>13</x:v>
      </x:c>
      <x:c r="F39" s="18">
        <x:f>IFERROR(E39/$B$10,0)</x:f>
        <x:v>0.65</x:v>
      </x:c>
      <x:c r="G39" s="13" t="str">
        <x:f>IF(F39&gt;=0.8,"Mudah / dikuasai",IF(F39&gt;=0.6,"Cukup dikuasai","Perlu penguatan"))</x:f>
        <x:v>Cukup dikuasai</x:v>
      </x:c>
    </x:row>
    <x:row r="40">
      <x:c r="B40" s="12" t="n">
        <x:v>9</x:v>
      </x:c>
      <x:c r="C40" s="13" t="str">
        <x:f>'Bank Soal'!C25</x:f>
        <x:v>Membuat konsep komunikasi</x:v>
      </x:c>
      <x:c r="D40" s="12" t="str">
        <x:f>'Bank Soal'!K25</x:f>
        <x:v>B</x:v>
      </x:c>
      <x:c r="E40" s="12">
        <x:f>COUNTIF('Form Evaluasi'!$M$17:$M$200,D40)</x:f>
        <x:v>19</x:v>
      </x:c>
      <x:c r="F40" s="18">
        <x:f>IFERROR(E40/$B$10,0)</x:f>
        <x:v>0.95</x:v>
      </x:c>
      <x:c r="G40" s="13" t="str">
        <x:f>IF(F40&gt;=0.8,"Mudah / dikuasai",IF(F40&gt;=0.6,"Cukup dikuasai","Perlu penguatan"))</x:f>
        <x:v>Mudah / dikuasai</x:v>
      </x:c>
    </x:row>
    <x:row r="41">
      <x:c r="B41" s="12" t="n">
        <x:v>10</x:v>
      </x:c>
      <x:c r="C41" s="13" t="str">
        <x:f>'Bank Soal'!C26</x:f>
        <x:v>Menggunakan media komunikasi</x:v>
      </x:c>
      <x:c r="D41" s="12" t="str">
        <x:f>'Bank Soal'!K26</x:f>
        <x:v>C</x:v>
      </x:c>
      <x:c r="E41" s="12">
        <x:f>COUNTIF('Form Evaluasi'!$N$17:$N$200,D41)</x:f>
        <x:v>12</x:v>
      </x:c>
      <x:c r="F41" s="18">
        <x:f>IFERROR(E41/$B$10,0)</x:f>
        <x:v>0.6</x:v>
      </x:c>
      <x:c r="G41" s="13" t="str">
        <x:f>IF(F41&gt;=0.8,"Mudah / dikuasai",IF(F41&gt;=0.6,"Cukup dikuasai","Perlu penguatan"))</x:f>
        <x:v>Cukup dikuasai</x:v>
      </x:c>
    </x:row>
    <x:row r="42">
      <x:c r="B42" s="12" t="n">
        <x:v>11</x:v>
      </x:c>
      <x:c r="C42" s="13" t="str">
        <x:f>'Bank Soal'!C27</x:f>
        <x:v>Menggunakan media komunikasi</x:v>
      </x:c>
      <x:c r="D42" s="12" t="str">
        <x:f>'Bank Soal'!K27</x:f>
        <x:v>C</x:v>
      </x:c>
      <x:c r="E42" s="12">
        <x:f>COUNTIF('Form Evaluasi'!$O$17:$O$200,D42)</x:f>
        <x:v>18</x:v>
      </x:c>
      <x:c r="F42" s="18">
        <x:f>IFERROR(E42/$B$10,0)</x:f>
        <x:v>0.9</x:v>
      </x:c>
      <x:c r="G42" s="13" t="str">
        <x:f>IF(F42&gt;=0.8,"Mudah / dikuasai",IF(F42&gt;=0.6,"Cukup dikuasai","Perlu penguatan"))</x:f>
        <x:v>Mudah / dikuasai</x:v>
      </x:c>
    </x:row>
    <x:row r="43">
      <x:c r="B43" s="12" t="n">
        <x:v>12</x:v>
      </x:c>
      <x:c r="C43" s="13" t="str">
        <x:f>'Bank Soal'!C28</x:f>
        <x:v>Menggunakan media komunikasi</x:v>
      </x:c>
      <x:c r="D43" s="12" t="str">
        <x:f>'Bank Soal'!K28</x:f>
        <x:v>B</x:v>
      </x:c>
      <x:c r="E43" s="12">
        <x:f>COUNTIF('Form Evaluasi'!$P$17:$P$200,D43)</x:f>
        <x:v>14</x:v>
      </x:c>
      <x:c r="F43" s="18">
        <x:f>IFERROR(E43/$B$10,0)</x:f>
        <x:v>0.7</x:v>
      </x:c>
      <x:c r="G43" s="13" t="str">
        <x:f>IF(F43&gt;=0.8,"Mudah / dikuasai",IF(F43&gt;=0.6,"Cukup dikuasai","Perlu penguatan"))</x:f>
        <x:v>Cukup dikuasai</x:v>
      </x:c>
    </x:row>
    <x:row r="45" ht="22" customHeight="1">
      <x:c r="A45" s="9" t="inlineStr">
        <x:is>
          <x:t xml:space="preserve">Interpretasi dan Rekomendasi</x:t>
        </x:is>
      </x:c>
    </x:row>
    <x:row r="47">
      <x:c r="B47" s="27" t="str">
        <x:f>IFERROR("Area prioritas penguatan: "&amp;INDEX(B17:B20,MATCH(MIN(D17:D20),D17:D20,0))&amp;" dengan rata-rata ketepatan "&amp;TEXT(MIN(D17:D20),"0.0%")&amp;". Disarankan follow-up melalui microlearning, role-play, dan penguatan praktik kerja pada area tersebut.","")</x:f>
        <x:v>Area prioritas penguatan: Mengidentifikasi proses komunikasi dengan rata-rata ketepatan 73.3%. Disarankan follow-up melalui microlearning, role-play, dan penguatan praktik kerja pada area tersebut.</x:v>
      </x:c>
      <x:c r="C47" s="31" t="n"/>
      <x:c r="D47" s="31" t="n"/>
      <x:c r="E47" s="31" t="n"/>
      <x:c r="F47" s="31" t="n"/>
      <x:c r="G47" s="31" t="n"/>
      <x:c r="H47" s="31" t="n"/>
      <x:c r="I47" s="31" t="n"/>
      <x:c r="J47" s="31" t="n"/>
      <x:c r="K47" s="31" t="n"/>
      <x:c r="L47" s="31" t="n"/>
      <x:c r="M47" s="31" t="n"/>
      <x:c r="N47" s="31" t="n"/>
      <x:c r="O47" s="31" t="n"/>
      <x:c r="P47" s="32" t="n"/>
    </x:row>
    <x:row r="48">
      <x:c r="B48" s="33" t="n"/>
      <x:c r="P48" s="34" t="n"/>
    </x:row>
    <x:row r="49">
      <x:c r="B49" s="35" t="n"/>
      <x:c r="C49" s="36" t="n"/>
      <x:c r="D49" s="36" t="n"/>
      <x:c r="E49" s="36" t="n"/>
      <x:c r="F49" s="36" t="n"/>
      <x:c r="G49" s="36" t="n"/>
      <x:c r="H49" s="36" t="n"/>
      <x:c r="I49" s="36" t="n"/>
      <x:c r="J49" s="36" t="n"/>
      <x:c r="K49" s="36" t="n"/>
      <x:c r="L49" s="36" t="n"/>
      <x:c r="M49" s="36" t="n"/>
      <x:c r="N49" s="36" t="n"/>
      <x:c r="O49" s="36" t="n"/>
      <x:c r="P49" s="37" t="n"/>
    </x:row>
    <x:row r="51">
      <x:c r="B51" s="27" t="str">
        <x:f>IFERROR("Butir dengan performa terendah: Q"&amp;INDEX(B32:B43,MATCH(MIN(F32:F43),F32:F43,0))&amp;" ("&amp;INDEX(C32:C43,MATCH(MIN(F32:F43),F32:F43,0))&amp;") dengan tingkat ketepatan "&amp;TEXT(MIN(F32:F43),"0.0%")&amp;". Butir ini dapat menjadi fokus remediasi materi, coaching, atau refresh session.","")</x:f>
        <x:v>Butir dengan performa terendah: Q3 (Mengidentifikasi proses komunikasi) dengan tingkat ketepatan 55.0%. Butir ini dapat menjadi fokus remediasi materi, coaching, atau refresh session.</x:v>
      </x:c>
      <x:c r="C51" s="31" t="n"/>
      <x:c r="D51" s="31" t="n"/>
      <x:c r="E51" s="31" t="n"/>
      <x:c r="F51" s="31" t="n"/>
      <x:c r="G51" s="31" t="n"/>
      <x:c r="H51" s="31" t="n"/>
      <x:c r="I51" s="31" t="n"/>
      <x:c r="J51" s="31" t="n"/>
      <x:c r="K51" s="31" t="n"/>
      <x:c r="L51" s="31" t="n"/>
      <x:c r="M51" s="31" t="n"/>
      <x:c r="N51" s="31" t="n"/>
      <x:c r="O51" s="31" t="n"/>
      <x:c r="P51" s="32" t="n"/>
    </x:row>
    <x:row r="52">
      <x:c r="B52" s="33" t="n"/>
      <x:c r="P52" s="34" t="n"/>
    </x:row>
    <x:row r="53">
      <x:c r="B53" s="35" t="n"/>
      <x:c r="C53" s="36" t="n"/>
      <x:c r="D53" s="36" t="n"/>
      <x:c r="E53" s="36" t="n"/>
      <x:c r="F53" s="36" t="n"/>
      <x:c r="G53" s="36" t="n"/>
      <x:c r="H53" s="36" t="n"/>
      <x:c r="I53" s="36" t="n"/>
      <x:c r="J53" s="36" t="n"/>
      <x:c r="K53" s="36" t="n"/>
      <x:c r="L53" s="36" t="n"/>
      <x:c r="M53" s="36" t="n"/>
      <x:c r="N53" s="36" t="n"/>
      <x:c r="O53" s="36" t="n"/>
      <x:c r="P53" s="37" t="n"/>
    </x:row>
  </x:sheetData>
  <x:mergeCells>
    <x:mergeCell ref="A5:P5"/>
    <x:mergeCell ref="A14:P14"/>
    <x:mergeCell ref="A23:P23"/>
    <x:mergeCell ref="E9:G9"/>
    <x:mergeCell ref="B10:D12"/>
    <x:mergeCell ref="E10:G12"/>
    <x:mergeCell ref="A29:P29"/>
    <x:mergeCell ref="B9:D9"/>
    <x:mergeCell ref="N9:P9"/>
    <x:mergeCell ref="N10:P12"/>
    <x:mergeCell ref="C1:H2"/>
    <x:mergeCell ref="A45:P45"/>
    <x:mergeCell ref="K10:M12"/>
    <x:mergeCell ref="A6:P6"/>
    <x:mergeCell ref="C3:H3"/>
    <x:mergeCell ref="A7:P7"/>
    <x:mergeCell ref="B51:P53"/>
    <x:mergeCell ref="K9:M9"/>
    <x:mergeCell ref="B47:P49"/>
    <x:mergeCell ref="H9:J9"/>
    <x:mergeCell ref="H10:J12"/>
  </x:mergeCells>
  <x:pageMargins left="0.7" right="0.7" top="0.75" bottom="0.75" header="0.3" footer="0.3"/>
  <x:drawing xmlns:r="http://schemas.openxmlformats.org/officeDocument/2006/relationships" r:id="R611223210e324e27"/>
</x:worksheet>
</file>