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Lenovo\AppData\Local\Temp\"/>
    </mc:Choice>
  </mc:AlternateContent>
  <xr:revisionPtr revIDLastSave="0" documentId="8_{6F9CF79E-53CC-42D8-9824-2D0C0EB00385}" xr6:coauthVersionLast="47" xr6:coauthVersionMax="47" xr10:uidLastSave="{00000000-0000-0000-0000-000000000000}"/>
  <bookViews>
    <workbookView xWindow="-110" yWindow="-110" windowWidth="19420" windowHeight="11020" xr2:uid="{5171FF09-066B-473C-8973-5B272AA15D79}"/>
  </bookViews>
  <sheets>
    <sheet name="START HERE" sheetId="1" r:id="rId1"/>
    <sheet name="W1 SDG Voting" sheetId="2" r:id="rId2"/>
    <sheet name="W1 SDG Reality Check" sheetId="3" r:id="rId3"/>
    <sheet name="W1 Vote Summary" sheetId="4" r:id="rId4"/>
    <sheet name="W1 SDG Consensus" sheetId="5" r:id="rId5"/>
    <sheet name="W2 Concept Canvas" sheetId="6" r:id="rId6"/>
    <sheet name="W2 SDG &amp; 5W1H" sheetId="7" r:id="rId7"/>
    <sheet name="W2 Partners Timeline Budget" sheetId="8" r:id="rId8"/>
    <sheet name="W2 Tasks &amp; Checklist" sheetId="9" r:id="rId9"/>
    <sheet name="Japan Evidence Bank" sheetId="10" r:id="rId10"/>
    <sheet name="Rubric Guide" sheetId="11"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7" i="2" l="1"/>
  <c r="B27" i="2"/>
  <c r="D26" i="2"/>
  <c r="B26" i="2"/>
  <c r="D25" i="2"/>
  <c r="B25" i="2"/>
  <c r="K21" i="2"/>
  <c r="H21" i="2"/>
  <c r="K20" i="2"/>
  <c r="H20" i="2"/>
  <c r="K19" i="2"/>
  <c r="H19" i="2"/>
  <c r="K18" i="2"/>
  <c r="H18" i="2"/>
  <c r="K17" i="2"/>
  <c r="H17" i="2"/>
  <c r="K16" i="2"/>
  <c r="H16" i="2"/>
  <c r="K15" i="2"/>
  <c r="H15" i="2"/>
  <c r="K14" i="2"/>
  <c r="H14" i="2"/>
  <c r="K13" i="2"/>
  <c r="H13" i="2"/>
  <c r="K12" i="2"/>
  <c r="H12" i="2"/>
  <c r="K11" i="2"/>
  <c r="H11" i="2"/>
  <c r="K10" i="2"/>
  <c r="H10" i="2"/>
  <c r="K9" i="2"/>
  <c r="H9" i="2"/>
  <c r="K8" i="2"/>
  <c r="H8" i="2"/>
  <c r="K7" i="2"/>
  <c r="H7" i="2"/>
  <c r="K6" i="2"/>
  <c r="H6" i="2"/>
  <c r="K5" i="2"/>
  <c r="H5" i="2"/>
  <c r="G21" i="2"/>
  <c r="G20" i="2"/>
  <c r="G19" i="2"/>
  <c r="G18" i="2"/>
  <c r="G17" i="2"/>
  <c r="G16" i="2"/>
  <c r="G15" i="2"/>
  <c r="G14" i="2"/>
  <c r="G13" i="2"/>
  <c r="G12" i="2"/>
  <c r="G11" i="2"/>
  <c r="G10" i="2"/>
  <c r="G9" i="2"/>
  <c r="G8" i="2"/>
  <c r="G7" i="2"/>
  <c r="G6" i="2"/>
  <c r="G5" i="2"/>
  <c r="E28" i="8"/>
  <c r="E27" i="8"/>
  <c r="E26" i="8"/>
  <c r="E25" i="8"/>
  <c r="E24" i="8"/>
  <c r="E23" i="8"/>
  <c r="E22" i="8"/>
  <c r="I20" i="2" l="1"/>
  <c r="I21" i="2"/>
  <c r="I19" i="2"/>
  <c r="I18" i="2"/>
  <c r="I17" i="2"/>
  <c r="I16" i="2"/>
  <c r="I14" i="2"/>
  <c r="I15" i="2"/>
  <c r="I13" i="2"/>
  <c r="I10" i="2"/>
  <c r="I12" i="2"/>
  <c r="I9" i="2"/>
  <c r="I11" i="2"/>
  <c r="I8" i="2"/>
  <c r="I7" i="2"/>
  <c r="I6" i="2"/>
  <c r="I5" i="2"/>
  <c r="D8" i="4" l="1"/>
  <c r="D7" i="4"/>
  <c r="D6" i="4"/>
  <c r="B6" i="4"/>
  <c r="B5" i="4"/>
  <c r="D5" i="4"/>
  <c r="C8" i="4"/>
  <c r="C7" i="4"/>
  <c r="C5" i="4"/>
  <c r="B8" i="4"/>
  <c r="B7" i="4"/>
  <c r="C6" i="4"/>
</calcChain>
</file>

<file path=xl/sharedStrings.xml><?xml version="1.0" encoding="utf-8"?>
<sst xmlns="http://schemas.openxmlformats.org/spreadsheetml/2006/main" count="484" uniqueCount="445">
  <si>
    <t>Purpose</t>
  </si>
  <si>
    <t>0-10 min</t>
  </si>
  <si>
    <t>Status</t>
  </si>
  <si>
    <t>Faiz Abdillah</t>
  </si>
  <si>
    <t>Mert Bian</t>
  </si>
  <si>
    <t>Malika</t>
  </si>
  <si>
    <t>Final decision date</t>
  </si>
  <si>
    <t>Group agreement statement</t>
  </si>
  <si>
    <t>Mentee sign-off</t>
  </si>
  <si>
    <t>Name</t>
  </si>
  <si>
    <t>Concern still open?</t>
  </si>
  <si>
    <t>Concept element</t>
  </si>
  <si>
    <t>Group answer</t>
  </si>
  <si>
    <t>Target beneficiaries</t>
  </si>
  <si>
    <t>Core activities</t>
  </si>
  <si>
    <t>Vision</t>
  </si>
  <si>
    <t>Mission</t>
  </si>
  <si>
    <t>Potential partners</t>
  </si>
  <si>
    <t>Expected outputs</t>
  </si>
  <si>
    <t>Expected outcomes</t>
  </si>
  <si>
    <t>Sustainability plan</t>
  </si>
  <si>
    <t>Main risks</t>
  </si>
  <si>
    <t>Risk mitigation</t>
  </si>
  <si>
    <t>Decision before Week 3</t>
  </si>
  <si>
    <t>Question</t>
  </si>
  <si>
    <t>Quality check</t>
  </si>
  <si>
    <t>Japan example prompt</t>
  </si>
  <si>
    <t>What is the problem?</t>
  </si>
  <si>
    <t>Why does it occur?</t>
  </si>
  <si>
    <t>Who is affected?</t>
  </si>
  <si>
    <t>Where does it occur?</t>
  </si>
  <si>
    <t>Place/context in Japan.</t>
  </si>
  <si>
    <t>When is it most visible?</t>
  </si>
  <si>
    <t>Situation/time trigger.</t>
  </si>
  <si>
    <t>SDG / Target</t>
  </si>
  <si>
    <t>Why this target fits</t>
  </si>
  <si>
    <t>Project activity that addresses it</t>
  </si>
  <si>
    <t>Indicator / evidence</t>
  </si>
  <si>
    <t>Inputs</t>
  </si>
  <si>
    <t>Activities</t>
  </si>
  <si>
    <t>Outputs</t>
  </si>
  <si>
    <t>Outcomes</t>
  </si>
  <si>
    <t>Workbook 2 - Partners, Timeline, and Budget Draft</t>
  </si>
  <si>
    <t>A. Potential Partner Map</t>
  </si>
  <si>
    <t>Partner type</t>
  </si>
  <si>
    <t>Example in Japan</t>
  </si>
  <si>
    <t>Why useful</t>
  </si>
  <si>
    <t>Contact/access path</t>
  </si>
  <si>
    <t>Owner</t>
  </si>
  <si>
    <t>Next step</t>
  </si>
  <si>
    <t>University / student club</t>
  </si>
  <si>
    <t>Japan Youth Summit network or host university club</t>
  </si>
  <si>
    <t>Access to youth participants and peer feedback</t>
  </si>
  <si>
    <t>Local NPO / community center</t>
  </si>
  <si>
    <t>Community center, senior support NPO, multicultural center</t>
  </si>
  <si>
    <t>Access to community needs and cultural validation</t>
  </si>
  <si>
    <t>Municipal / public office</t>
  </si>
  <si>
    <t>City SDGs, tourism, environment, or labor-related desk</t>
  </si>
  <si>
    <t>Policy context and credibility</t>
  </si>
  <si>
    <t>Private sector / SME group</t>
  </si>
  <si>
    <t>Local SME association, tourism business, green finance stakeholder</t>
  </si>
  <si>
    <t>Real-world constraints and possible continuation</t>
  </si>
  <si>
    <t>Information source partner</t>
  </si>
  <si>
    <t>JNTO, METI, Cabinet Office, MoE/JMA official data</t>
  </si>
  <si>
    <t>Evidence, not direct implementation</t>
  </si>
  <si>
    <t>B. Timeline to Week 5 Presentation</t>
  </si>
  <si>
    <t>Period</t>
  </si>
  <si>
    <t>Milestone</t>
  </si>
  <si>
    <t>Deliverable</t>
  </si>
  <si>
    <t>Risk / dependency</t>
  </si>
  <si>
    <t>Week 2 session</t>
  </si>
  <si>
    <t>Finalize concept</t>
  </si>
  <si>
    <t>Completed canvas + SDG alignment + task split</t>
  </si>
  <si>
    <t>Not started</t>
  </si>
  <si>
    <t>Within 48 hours</t>
  </si>
  <si>
    <t>Validate weak assumptions</t>
  </si>
  <si>
    <t>Evidence notes, partner/contact list, revised problem statement</t>
  </si>
  <si>
    <t>Before Week 3</t>
  </si>
  <si>
    <t>Build first draft</t>
  </si>
  <si>
    <t>Proposal outline + PPT skeleton</t>
  </si>
  <si>
    <t>Week 3</t>
  </si>
  <si>
    <t>Draft development review</t>
  </si>
  <si>
    <t>Draft proposal with logical problem-to-solution flow</t>
  </si>
  <si>
    <t>Week 4</t>
  </si>
  <si>
    <t>Refinement and readiness</t>
  </si>
  <si>
    <t>Improved proposal quality and presentation design</t>
  </si>
  <si>
    <t>Week 5</t>
  </si>
  <si>
    <t>Simulation and finalization</t>
  </si>
  <si>
    <t>Final proposal + PPT + presentation role distribution</t>
  </si>
  <si>
    <t>C. Budget Draft</t>
  </si>
  <si>
    <t>Cost item</t>
  </si>
  <si>
    <t>Needed for</t>
  </si>
  <si>
    <t>Unit cost (JPY)</t>
  </si>
  <si>
    <t>Quantity</t>
  </si>
  <si>
    <t>Estimated total (JPY)</t>
  </si>
  <si>
    <t>Low-cost alternative</t>
  </si>
  <si>
    <t>Printing / handouts</t>
  </si>
  <si>
    <t>Workshop/toolkit/campaign material</t>
  </si>
  <si>
    <t>Digital PDF or QR code</t>
  </si>
  <si>
    <t>Local transport</t>
  </si>
  <si>
    <t>Partner visit / field observation</t>
  </si>
  <si>
    <t>Online interview or nearby site</t>
  </si>
  <si>
    <t>Venue / room</t>
  </si>
  <si>
    <t>Small workshop or discussion</t>
  </si>
  <si>
    <t>University room/community free space</t>
  </si>
  <si>
    <t>Translation / design support</t>
  </si>
  <si>
    <t>Bilingual clarity and professional visuals</t>
  </si>
  <si>
    <t>Peer review + simple templates</t>
  </si>
  <si>
    <t>Materials / stationery</t>
  </si>
  <si>
    <t>Workshop activity</t>
  </si>
  <si>
    <t>Use available materials</t>
  </si>
  <si>
    <t>Contingency</t>
  </si>
  <si>
    <t>Unexpected minor costs</t>
  </si>
  <si>
    <t>Limit scope</t>
  </si>
  <si>
    <t>Total</t>
  </si>
  <si>
    <t>Workbook 2 - Task Distribution and Mentor Checklist</t>
  </si>
  <si>
    <t>A. Task Distribution Before Week 3</t>
  </si>
  <si>
    <t>Mentee</t>
  </si>
  <si>
    <t>Task / research area</t>
  </si>
  <si>
    <t>Why it matters</t>
  </si>
  <si>
    <t>Due date</t>
  </si>
  <si>
    <t>Notes / mentor reminder</t>
  </si>
  <si>
    <t>All members</t>
  </si>
  <si>
    <t>B. Week 2 Mentor Checklist</t>
  </si>
  <si>
    <t>Check</t>
  </si>
  <si>
    <t>Done?</t>
  </si>
  <si>
    <t>Evidence / note</t>
  </si>
  <si>
    <t>Issue?</t>
  </si>
  <si>
    <t>Follow-up</t>
  </si>
  <si>
    <t>Mentor</t>
  </si>
  <si>
    <t>Group</t>
  </si>
  <si>
    <t>Vision and mission are drafted</t>
  </si>
  <si>
    <t>Potential partners are listed</t>
  </si>
  <si>
    <t>Group leader will submit WhatsApp summary</t>
  </si>
  <si>
    <t>Group leader</t>
  </si>
  <si>
    <t>Tasks before Week 3 assigned</t>
  </si>
  <si>
    <t>Mentor + group</t>
  </si>
  <si>
    <t>Japan Evidence Bank - Current Context for Examples and Validation</t>
  </si>
  <si>
    <t>Theme</t>
  </si>
  <si>
    <t>Current Japan context to consider</t>
  </si>
  <si>
    <t>Useful for which idea?</t>
  </si>
  <si>
    <t>Source URL / note</t>
  </si>
  <si>
    <t>Aging society</t>
  </si>
  <si>
    <t>Japan's Cabinet Office FY2025 aging report states that as of Oct. 1, 2024 Japan had 36.24 million people aged 65+, equal to 29.3% of the population.</t>
  </si>
  <si>
    <t>Ideas involving elderly inclusion, labor, welfare, heat safety, digital access.</t>
  </si>
  <si>
    <t>Cabinet Office, Annual Report on the Ageing Society FY2025: https://www8.cao.go.jp/kourei/english/annualreport/2025/pdf/2025.pdf</t>
  </si>
  <si>
    <t>Elderly living alone</t>
  </si>
  <si>
    <t>The same report notes that people aged 65+ living alone are increasing, with 2020 shares of 15.0% for men and 22.1% for women, projected higher by 2050.</t>
  </si>
  <si>
    <t>Social isolation, community support, heat safety, digital or service access.</t>
  </si>
  <si>
    <t>Inbound tourism</t>
  </si>
  <si>
    <t>JNTO reported 3,618,900 visitor arrivals to Japan in March 2026, with Jan-Mar 2026 arrivals at 10,683,500.</t>
  </si>
  <si>
    <t>Sustainable tourism, multilingual guidance, visitor behavior, community strain.</t>
  </si>
  <si>
    <t>JNTO press release Apr. 15, 2026: https://www.jnto.go.jp/en/news/20260415.pdf</t>
  </si>
  <si>
    <t>Heat illness</t>
  </si>
  <si>
    <t>Japan's 2026 Heat Stroke Alert operation starts Apr. 22, 2026. Alerts are issued when WBGT is forecast at 33 or higher and encourage protective actions, including checking on elderly people.</t>
  </si>
  <si>
    <t>Climate action, disaster readiness, elderly safety, public health workshops.</t>
  </si>
  <si>
    <t>Ministry of the Environment / JMA heat illness site: https://www.wbgt.env.go.jp/en/sp/alert.php</t>
  </si>
  <si>
    <t>Green transition finance</t>
  </si>
  <si>
    <t>METI states that more than 150 trillion yen of public-private investment is required over the next 10 years for GX investment, and Japan decided to issue 20 trillion yen of GX Economy Transition Bonds.</t>
  </si>
  <si>
    <t>Faiz's green credit / transition finance idea; SDG 7, 8, 13.</t>
  </si>
  <si>
    <t>METI Transition Finance: https://www.meti.go.jp/english/policy/energy_environment/transition_finance/index.html</t>
  </si>
  <si>
    <t>Transition finance credibility</t>
  </si>
  <si>
    <t>METI frames transition finance as supporting companies that steadily reduce GHG emissions according to long-term strategies for a decarbonized society.</t>
  </si>
  <si>
    <t>Green credit literacy, SME decarbonization, finance education, policy brief.</t>
  </si>
  <si>
    <t>Decent work and aging</t>
  </si>
  <si>
    <t>Cabinet Office FY2025 report notes employment among people aged 65+ has continued increasing and elderly willingness to work is growing.</t>
  </si>
  <si>
    <t>Mert's SDG 8 decent work idea; aging workforce, work rights, lifelong employment.</t>
  </si>
  <si>
    <t>Program requirements</t>
  </si>
  <si>
    <t>Mentor handbook Week 2 asks for concept development: background problem, solution, vision and mission, partners, timeline, budget draft, target and task distribution.</t>
  </si>
  <si>
    <t>All ideas; confirms what Week 2 output must include.</t>
  </si>
  <si>
    <t>Local file: Mentor Handbook.pdf</t>
  </si>
  <si>
    <t>Strong</t>
  </si>
  <si>
    <t>What passing looks like</t>
  </si>
  <si>
    <t>Mentoring Week 2 - SDG-Voted Project Concept Development Workbook</t>
  </si>
  <si>
    <t>Start from shared SDG interest, not from the mentees' original ideas. The group first votes on favorite SDGs, then builds a new project concept from the most-voted SDG base.</t>
  </si>
  <si>
    <t>Recommended voting rule</t>
  </si>
  <si>
    <t>Why not require unanimity?</t>
  </si>
  <si>
    <t>Decision rule</t>
  </si>
  <si>
    <t>Use the highest vote count first. If tied, use priority points from ranking. If still tied, choose the SDG with the clearest current Japan problem and easiest small pilot.</t>
  </si>
  <si>
    <t>Week 2 focus</t>
  </si>
  <si>
    <t>After the base SDG is chosen, develop a project concept: background problem, solution, vision and mission, partners, timeline, budget, target, and task distribution.</t>
  </si>
  <si>
    <t>Mentor stance</t>
  </si>
  <si>
    <t>Do not ask whose original idea won. Ask: which SDG do we collectively care about, what problem in Japan is real, and what can 3 mentees realistically build?</t>
  </si>
  <si>
    <t>Recommended flow</t>
  </si>
  <si>
    <t>Explain that original ideas are paused. The group will restart from SDG interest and shared relevance.</t>
  </si>
  <si>
    <t>10-25 min</t>
  </si>
  <si>
    <t>25-40 min</t>
  </si>
  <si>
    <t>40-65 min</t>
  </si>
  <si>
    <t>Use W1 SDG Reality Check to turn top SDGs into Japan-grounded problem options.</t>
  </si>
  <si>
    <t>65-90 min</t>
  </si>
  <si>
    <t>Agree on one SDG base and one problem direction, then continue into Week 2 concept development.</t>
  </si>
  <si>
    <t>Workbook 1 - SDG Preference Voting</t>
  </si>
  <si>
    <t>SDG</t>
  </si>
  <si>
    <t>Goal name</t>
  </si>
  <si>
    <t>Faiz rank</t>
  </si>
  <si>
    <t>Mert rank</t>
  </si>
  <si>
    <t>Malika rank</t>
  </si>
  <si>
    <t>Vote count</t>
  </si>
  <si>
    <t>Priority points</t>
  </si>
  <si>
    <t>Vote rank</t>
  </si>
  <si>
    <t>Notes / reason for interest</t>
  </si>
  <si>
    <t>Sort score</t>
  </si>
  <si>
    <t>SDG 1</t>
  </si>
  <si>
    <t>No Poverty</t>
  </si>
  <si>
    <t>Poverty prevention, social safety, vulnerable groups</t>
  </si>
  <si>
    <t>SDG 2</t>
  </si>
  <si>
    <t>Zero Hunger</t>
  </si>
  <si>
    <t>Food security, nutrition, food loss, local agriculture</t>
  </si>
  <si>
    <t>SDG 3</t>
  </si>
  <si>
    <t>Good Health and Well-being</t>
  </si>
  <si>
    <t>Aging, heat safety, mental health, preventive health</t>
  </si>
  <si>
    <t>SDG 4</t>
  </si>
  <si>
    <t>Quality Education</t>
  </si>
  <si>
    <t>Youth learning, digital literacy, inclusive education</t>
  </si>
  <si>
    <t>SDG 5</t>
  </si>
  <si>
    <t>Gender Equality</t>
  </si>
  <si>
    <t>Equal opportunity, safety, representation</t>
  </si>
  <si>
    <t>SDG 6</t>
  </si>
  <si>
    <t>Clean Water and Sanitation</t>
  </si>
  <si>
    <t>Water access, hygiene, disaster sanitation</t>
  </si>
  <si>
    <t>SDG 7</t>
  </si>
  <si>
    <t>Affordable and Clean Energy</t>
  </si>
  <si>
    <t>Energy transition, efficiency, renewable literacy</t>
  </si>
  <si>
    <t>SDG 8</t>
  </si>
  <si>
    <t>Decent Work and Economic Growth</t>
  </si>
  <si>
    <t>Youth work, aging workforce, labor shortage, gig work</t>
  </si>
  <si>
    <t>SDG 9</t>
  </si>
  <si>
    <t>Industry, Innovation and Infrastructure</t>
  </si>
  <si>
    <t>Innovation, resilient infrastructure, digital inclusion</t>
  </si>
  <si>
    <t>SDG 10</t>
  </si>
  <si>
    <t>Reduced Inequalities</t>
  </si>
  <si>
    <t>Elderly inclusion, foreign residents, accessibility, regional gaps</t>
  </si>
  <si>
    <t>SDG 11</t>
  </si>
  <si>
    <t>Sustainable Cities and Communities</t>
  </si>
  <si>
    <t>Tourism pressure, aging communities, disaster readiness</t>
  </si>
  <si>
    <t>SDG 12</t>
  </si>
  <si>
    <t>Responsible Consumption and Production</t>
  </si>
  <si>
    <t>Waste sorting, food loss, sustainable tourism consumption</t>
  </si>
  <si>
    <t>SDG 13</t>
  </si>
  <si>
    <t>Climate Action</t>
  </si>
  <si>
    <t>Heat risk, disaster readiness, decarbonization awareness</t>
  </si>
  <si>
    <t>SDG 14</t>
  </si>
  <si>
    <t>Life Below Water</t>
  </si>
  <si>
    <t>Marine waste, coastal protection, ocean literacy</t>
  </si>
  <si>
    <t>SDG 15</t>
  </si>
  <si>
    <t>Life on Land</t>
  </si>
  <si>
    <t>Biodiversity, forests, local ecosystems</t>
  </si>
  <si>
    <t>SDG 16</t>
  </si>
  <si>
    <t>Peace, Justice and Strong Institutions</t>
  </si>
  <si>
    <t>Civic trust, access to information, inclusion</t>
  </si>
  <si>
    <t>SDG 17</t>
  </si>
  <si>
    <t>Partnerships for the Goals</t>
  </si>
  <si>
    <t>Cross-sector collaboration, youth networks, implementation partnerships</t>
  </si>
  <si>
    <t>Voting completeness check</t>
  </si>
  <si>
    <t>Selected SDGs</t>
  </si>
  <si>
    <t>Must equal</t>
  </si>
  <si>
    <t>Reminder</t>
  </si>
  <si>
    <t>Faiz</t>
  </si>
  <si>
    <t>Mert</t>
  </si>
  <si>
    <t>Workbook 1 - SDG Reality Check: Turn Top SDGs into Projectable Problems</t>
  </si>
  <si>
    <t>Top SDG option</t>
  </si>
  <si>
    <t>Japan-specific problem option</t>
  </si>
  <si>
    <t>Possible beneficiary</t>
  </si>
  <si>
    <t>Small feasible project format</t>
  </si>
  <si>
    <t>Evidence / validation needed</t>
  </si>
  <si>
    <t>Reality gates before moving to Week 2</t>
  </si>
  <si>
    <t>Gate</t>
  </si>
  <si>
    <t>Problem Option A</t>
  </si>
  <si>
    <t>Problem Option B</t>
  </si>
  <si>
    <t>Problem Option C</t>
  </si>
  <si>
    <t>Is the problem current in Japan?</t>
  </si>
  <si>
    <t>There is a credible source, observation, or stakeholder signal.</t>
  </si>
  <si>
    <t>Is the beneficiary reachable?</t>
  </si>
  <si>
    <t>The team can reach, survey, interview, or clearly define them.</t>
  </si>
  <si>
    <t>Can 3 mentees build a small output?</t>
  </si>
  <si>
    <t>Workshop, toolkit, campaign kit, policy brief, prototype, or partner map.</t>
  </si>
  <si>
    <t>Can the project be explained simply?</t>
  </si>
  <si>
    <t>Problem-solution-impact can be told in under 60 seconds.</t>
  </si>
  <si>
    <t>Can impact be measured?</t>
  </si>
  <si>
    <t>Output and outcome metrics can be named.</t>
  </si>
  <si>
    <t>Does it fit the top-voted SDG?</t>
  </si>
  <si>
    <t>The SDG is causal, not decorative.</t>
  </si>
  <si>
    <t>Should this move to Week 2?</t>
  </si>
  <si>
    <t>Yes / Needs validation / No.</t>
  </si>
  <si>
    <t>Japan problem prompts by common SDG cluster</t>
  </si>
  <si>
    <t>SDG cluster</t>
  </si>
  <si>
    <t>Japan situation to explore</t>
  </si>
  <si>
    <t>Possible project format</t>
  </si>
  <si>
    <t>Evidence source to start</t>
  </si>
  <si>
    <t>Mentor caution</t>
  </si>
  <si>
    <t>SDG 3 + 11 + 13</t>
  </si>
  <si>
    <t>Heat safety, disaster readiness, elderly support, community preparedness.</t>
  </si>
  <si>
    <t>Community heat/disaster readiness toolkit or mini workshop.</t>
  </si>
  <si>
    <t>MoE/JMA heat alert info; local municipal guidance.</t>
  </si>
  <si>
    <t>Avoid broad disaster policy; make it daily-life practical.</t>
  </si>
  <si>
    <t>SDG 8 + 4 + 10</t>
  </si>
  <si>
    <t>Youth work readiness, AI/gig-work risks, foreign resident inclusion, aging workforce.</t>
  </si>
  <si>
    <t>Decent-work literacy module or youth toolkit.</t>
  </si>
  <si>
    <t>Cabinet Office aging report; labor-related official sources.</t>
  </si>
  <si>
    <t>Avoid only writing an essay; create a usable module.</t>
  </si>
  <si>
    <t>SDG 7 + 8 + 13</t>
  </si>
  <si>
    <t>Green transition, GX finance, SME decarbonization literacy.</t>
  </si>
  <si>
    <t>Transition finance explainer or SME/youth awareness kit.</t>
  </si>
  <si>
    <t>METI transition finance and GX materials.</t>
  </si>
  <si>
    <t>Avoid technical bank modeling beyond student capacity.</t>
  </si>
  <si>
    <t>SDG 11 + 12 + 17</t>
  </si>
  <si>
    <t>Tourism pressure, waste sorting, resident comfort, visitor behavior.</t>
  </si>
  <si>
    <t>Sustainable visitor etiquette campaign kit.</t>
  </si>
  <si>
    <t>JNTO visitor arrivals; local tourism guidance.</t>
  </si>
  <si>
    <t>Avoid generic tourism slogans; target one behavior.</t>
  </si>
  <si>
    <t>Workbook 1 - Vote Summary and SDG Base Selection</t>
  </si>
  <si>
    <t>Summary item</t>
  </si>
  <si>
    <t>Top 1</t>
  </si>
  <si>
    <t>Top 2</t>
  </si>
  <si>
    <t>Top 3</t>
  </si>
  <si>
    <t>Notes</t>
  </si>
  <si>
    <t>Final SDG base for project</t>
  </si>
  <si>
    <t>Selected base SDG</t>
  </si>
  <si>
    <t>Optional supporting SDG 1</t>
  </si>
  <si>
    <t>Optional supporting SDG 2</t>
  </si>
  <si>
    <t>Why this SDG base was selected</t>
  </si>
  <si>
    <t>Japan problem direction</t>
  </si>
  <si>
    <t>Beneficiary direction</t>
  </si>
  <si>
    <t>Small project format</t>
  </si>
  <si>
    <t>Fallback rules</t>
  </si>
  <si>
    <t>Workbook 1 - SDG Consensus Record</t>
  </si>
  <si>
    <t>Supporting SDG(s), if any</t>
  </si>
  <si>
    <t>Winning vote evidence</t>
  </si>
  <si>
    <t>Agreed Japan problem statement</t>
  </si>
  <si>
    <t>In Japan, [beneficiary] faces [problem] because [cause/context].</t>
  </si>
  <si>
    <t>Why original ideas are paused</t>
  </si>
  <si>
    <t>The group is starting from the shared SDG base instead of selecting one member's original idea.</t>
  </si>
  <si>
    <t>Project direction in one sentence</t>
  </si>
  <si>
    <t>For [beneficiary] in Japan, we will create [small project output] to improve [measurable outcome].</t>
  </si>
  <si>
    <t>Validation needed before Week 3</t>
  </si>
  <si>
    <t>We agree to build one group project from the selected SDG base and not campaign for individual original ideas unless they fit the shared SDG direction.</t>
  </si>
  <si>
    <t>Top SDG they voted for</t>
  </si>
  <si>
    <t>I accept the shared SDG base</t>
  </si>
  <si>
    <t>Role in Week 2</t>
  </si>
  <si>
    <t>Workbook 2 - Project Concept Canvas from Selected SDG Base</t>
  </si>
  <si>
    <t>Mentor prompt</t>
  </si>
  <si>
    <t>Pull from W1 Vote Summary / W1 SDG Consensus.</t>
  </si>
  <si>
    <t>Supporting SDG(s)</t>
  </si>
  <si>
    <t>Use only if they sharpen the project. Avoid listing too many.</t>
  </si>
  <si>
    <t>Japan problem statement</t>
  </si>
  <si>
    <t>In Japan, [specific beneficiary] faces [problem] because [cause/current condition].</t>
  </si>
  <si>
    <t>Why the problem matters now</t>
  </si>
  <si>
    <t>Use current Japan evidence, policy, demographic, climate, tourism, labor, or community context.</t>
  </si>
  <si>
    <t>Specific reachable people or institutions, not society in general.</t>
  </si>
  <si>
    <t>Proposed small solution</t>
  </si>
  <si>
    <t>Workshop, toolkit, campaign kit, policy brief, prototype, guide, partner map, or awareness module.</t>
  </si>
  <si>
    <t>List 3-5 concrete actions the team can execute before the presentation.</t>
  </si>
  <si>
    <t>Long-term future if this SDG problem is addressed.</t>
  </si>
  <si>
    <t>What this project does now within summit capacity.</t>
  </si>
  <si>
    <t>University clubs, local NPOs, community centers, municipal offices, SMEs, tourism centers, online communities.</t>
  </si>
  <si>
    <t>Tangible outputs: toolkit, deck, survey, partner list, proposal, PPT, prototype.</t>
  </si>
  <si>
    <t>Measurable change: awareness score, validation response, number reached, usability feedback.</t>
  </si>
  <si>
    <t>How the output continues after the summit: template, partner handoff, online resource, repeatable session.</t>
  </si>
  <si>
    <t>Access, scope, evidence, language/culture, time, budget.</t>
  </si>
  <si>
    <t>Narrow scope, validate fast, use bilingual/simple materials, keep costs low.</t>
  </si>
  <si>
    <t>What must be locked before drafting proposal and PPT?</t>
  </si>
  <si>
    <t>Workbook 2 - Selected SDG Alignment and 5W1H Problem Development</t>
  </si>
  <si>
    <t>A. From SDG label to real problem</t>
  </si>
  <si>
    <t>What SDG was selected?</t>
  </si>
  <si>
    <t>Specific problem, not only an SDG theme.</t>
  </si>
  <si>
    <t>Not 'decent work'. Better: youth/foreign students lack practical literacy about job insecurity and work rights.</t>
  </si>
  <si>
    <t>Names root causes the project can influence.</t>
  </si>
  <si>
    <t>Information is scattered, too technical, not youth-friendly, or not localized.</t>
  </si>
  <si>
    <t>Specific reachable beneficiary.</t>
  </si>
  <si>
    <t>Youth, foreign residents, elderly residents, SMEs, tourists, local communities.</t>
  </si>
  <si>
    <t>University community, urban tourist district, local community center, SME context, online job platform.</t>
  </si>
  <si>
    <t>Job search, heat season, tourist peak season, disaster alerts, transition planning.</t>
  </si>
  <si>
    <t>How does it look now?</t>
  </si>
  <si>
    <t>Observable current condition.</t>
  </si>
  <si>
    <t>Official information exists, but it is scattered, technical, language-heavy, or not actionable.</t>
  </si>
  <si>
    <t>B. SDG causal alignment</t>
  </si>
  <si>
    <t>C. Theory of change</t>
  </si>
  <si>
    <t>Evidence and feasibility lead for selected SDG</t>
  </si>
  <si>
    <t>Find current Japan evidence, estimate budget/resources, and test whether the project format is realistic.</t>
  </si>
  <si>
    <t>Problem framing and SDG logic lead</t>
  </si>
  <si>
    <t>Turn the selected SDG into a clear problem-solution-impact narrative.</t>
  </si>
  <si>
    <t>Beneficiary and communication lead</t>
  </si>
  <si>
    <t>Clarify target audience, partner path, survey/interview questions, and presentation clarity.</t>
  </si>
  <si>
    <t>Shared SDG project agreement</t>
  </si>
  <si>
    <t>Keep the project based on the selected SDG, not individual original idea ownership.</t>
  </si>
  <si>
    <t>Vote summary identified top SDG or SDG cluster</t>
  </si>
  <si>
    <t>Original ideas were paused before project selection</t>
  </si>
  <si>
    <t>Selected SDG has a Japan-specific problem direction</t>
  </si>
  <si>
    <t>Beneficiary is specific and reachable</t>
  </si>
  <si>
    <t>Small project format is realistic</t>
  </si>
  <si>
    <t>Evidence or validation task is assigned</t>
  </si>
  <si>
    <t>Timeline and budget draft exist</t>
  </si>
  <si>
    <t>Rubric Guide - From SDG Vote to Real Project</t>
  </si>
  <si>
    <t>Weak</t>
  </si>
  <si>
    <t>Acceptable</t>
  </si>
  <si>
    <t>SDG selection</t>
  </si>
  <si>
    <t>Chosen because one person insists.</t>
  </si>
  <si>
    <t>Chosen by vote but still broad.</t>
  </si>
  <si>
    <t>Japan problem</t>
  </si>
  <si>
    <t>Only names an SDG theme.</t>
  </si>
  <si>
    <t>Names a Japan issue but evidence is still thin.</t>
  </si>
  <si>
    <t>Specific current Japan problem with source or validation path.</t>
  </si>
  <si>
    <t>Beneficiary</t>
  </si>
  <si>
    <t>Society, youth, or community in general.</t>
  </si>
  <si>
    <t>Beneficiary named but access unclear.</t>
  </si>
  <si>
    <t>Specific reachable beneficiary and context.</t>
  </si>
  <si>
    <t>Project format</t>
  </si>
  <si>
    <t>Large policy change, institutional reform, or abstract awareness.</t>
  </si>
  <si>
    <t>Small format exists but activities need detail.</t>
  </si>
  <si>
    <t>Small deliverable can be built by 3 mentees before presentation.</t>
  </si>
  <si>
    <t>Evidence</t>
  </si>
  <si>
    <t>Opinion or general internet claim.</t>
  </si>
  <si>
    <t>One credible source.</t>
  </si>
  <si>
    <t>Credible source plus stakeholder signal, observation, or fast validation plan.</t>
  </si>
  <si>
    <t>Team dynamics</t>
  </si>
  <si>
    <t>Original idea competition continues.</t>
  </si>
  <si>
    <t>Group accepts vote but roles are uneven.</t>
  </si>
  <si>
    <t>Roles are assigned around the shared SDG project.</t>
  </si>
  <si>
    <t>Week 2 readiness</t>
  </si>
  <si>
    <t>No clear concept yet.</t>
  </si>
  <si>
    <t>Concept exists but needs narrowing.</t>
  </si>
  <si>
    <t>Problem, solution, partners, timeline, budget, and tasks can be drafted.</t>
  </si>
  <si>
    <t>Recommended rule</t>
  </si>
  <si>
    <t>Each of the 3 mentees must choose exactly Top 8 favorite SDGs and rank them 1-8. With 17 SDGs, this makes agreement very likely: the chance that at least one SDG is chosen by all 3 is about 90.9%, and at least one SDG gets 2+ votes is effectively 100%.</t>
  </si>
  <si>
    <t>Because the mentees are diverse, this workbook now prioritizes high overlap. The group should still use ranking points and the reality check so the final SDG base is not just broad agreement, but also projectable in Japan.</t>
  </si>
  <si>
    <t>Each mentee ranks Top 8 SDGs privately in W1 SDG Voting.</t>
  </si>
  <si>
    <t>Reveal vote summary and identify the top SDG or top SDG cluster using vote count and priority points.</t>
  </si>
  <si>
    <t>Each mentee must choose exactly 8 SDGs. Put 1 for most favorite, 2 for second, up to 8 for eighth. Leave other SDGs blank. This wider vote is intentional because the mentees are diverse and the mentor wants a very high chance of shared SDG agreement.</t>
  </si>
  <si>
    <t>Japan relevance examples</t>
  </si>
  <si>
    <t>Choose exactly 8 SDGs. Ranking must use 1-8, no duplicates inside the same mentee column.</t>
  </si>
  <si>
    <t>Top 8 rationale</t>
  </si>
  <si>
    <t>Top 8 is mandatory because the mentees' interests are diverse and the mentoring goal is to find a shared SDG base before discussing project ideas. Probability check: if each of 3 mentees chooses 8 out of 17 SDGs, the chance that at least one SDG is chosen by all 3 is about 90.9%, while the chance that at least one SDG receives 2+ votes is effectively 100%. Use the vote summary, then narrow with the SDG Reality Check so the final project is still specific and realistic.</t>
  </si>
  <si>
    <t>Use this after Top 8 voting. Because Top 8 creates broad overlap, the reality check is essential: convert the most-voted SDG(s) into one Japan-specific problem that can become a realistic Week 2 project.</t>
  </si>
  <si>
    <t>This summarizes the mandatory Top 8 SDG vote and records the SDG base that will drive Week 2 project development.</t>
  </si>
  <si>
    <t>If tied, check vote count first, then priority points, then Japan problem feasibility. With Top 8, ties are possible because the vote is intentionally broad.</t>
  </si>
  <si>
    <t>If many SDGs are tied, group them into a practical SDG cluster, then choose the cluster with the clearest Japan problem and smallest feasible project format.</t>
  </si>
  <si>
    <t>Do not use all winning SDGs. Select one base SDG and at most two supporting SDGs for clarity.</t>
  </si>
  <si>
    <t>Do not return to original idea ownership unless the idea clearly fits the selected SDG base.</t>
  </si>
  <si>
    <t>Record vote count and priority points from W1 Vote Summary. Note that each mentee ranked exactly 8 SDGs.</t>
  </si>
  <si>
    <t>Use this after the group selects the base SDG from the mandatory Top 8 vote. Since the vote is broad, keep the project narrow: one base SDG, at most two supporting SDGs, one Japan-specific problem, one realistic small solution.</t>
  </si>
  <si>
    <t>Base SDG is clear; supporting SDGs are limited to avoid a vague project.</t>
  </si>
  <si>
    <t>Example: SDG 8 as base, SDG 4 and 10 as support. Do not use all voted SDGs.</t>
  </si>
  <si>
    <t>Each mentee selected exactly 8 SDGs</t>
  </si>
  <si>
    <t>Chosen through mandatory Top 8 vote with clear top rank or cluster and group acceptance.</t>
  </si>
  <si>
    <t>Each mentee chooses Top 8 SDGs. Select the SDG with the highest vote count, then priority points. Because Top 8 is broad, the group must narrow to one base SDG and at most two supporting SDGs before Week 2 concept development.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</si>
</sst>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0"/>
      <color theme="1"/>
      <name val="Aptos"/>
      <family val="2"/>
    </font>
    <font>
      <b/>
      <sz val="10"/>
      <color theme="1"/>
      <name val="Aptos"/>
      <family val="2"/>
    </font>
    <font>
      <b/>
      <sz val="14"/>
      <color rgb="FF2F2F46"/>
      <name val="Aptos"/>
      <family val="2"/>
    </font>
    <font>
      <b/>
      <sz val="11"/>
      <color rgb="FF2F2F46"/>
      <name val="Aptos"/>
      <family val="2"/>
    </font>
    <font>
      <b/>
      <sz val="10"/>
      <color rgb="FF2F2F46"/>
      <name val="Aptos"/>
      <family val="2"/>
    </font>
    <font>
      <b/>
      <sz val="11"/>
      <color theme="1"/>
      <name val="Calibri"/>
      <family val="2"/>
      <scheme val="minor"/>
    </font>
  </fonts>
  <fills count="11">
    <fill>
      <patternFill patternType="none"/>
    </fill>
    <fill>
      <patternFill patternType="gray125"/>
    </fill>
    <fill>
      <patternFill patternType="solid">
        <fgColor rgb="FFFFD6FF"/>
        <bgColor indexed="64"/>
      </patternFill>
    </fill>
    <fill>
      <patternFill patternType="solid">
        <fgColor rgb="FFE7C6FF"/>
        <bgColor indexed="64"/>
      </patternFill>
    </fill>
    <fill>
      <patternFill patternType="solid">
        <fgColor rgb="FFB8C0FF"/>
        <bgColor indexed="64"/>
      </patternFill>
    </fill>
    <fill>
      <patternFill patternType="solid">
        <fgColor rgb="FFBBD0FF"/>
        <bgColor indexed="64"/>
      </patternFill>
    </fill>
    <fill>
      <patternFill patternType="solid">
        <fgColor rgb="FFFFFFFF"/>
        <bgColor indexed="64"/>
      </patternFill>
    </fill>
    <fill>
      <patternFill patternType="solid">
        <fgColor rgb="FFFFF2CC"/>
        <bgColor indexed="64"/>
      </patternFill>
    </fill>
    <fill>
      <patternFill patternType="solid">
        <fgColor rgb="FFC8B6FF"/>
        <bgColor indexed="64"/>
      </patternFill>
    </fill>
    <fill>
      <patternFill patternType="solid">
        <fgColor rgb="FFF4CCCC"/>
        <bgColor indexed="64"/>
      </patternFill>
    </fill>
    <fill>
      <patternFill patternType="solid">
        <fgColor rgb="FFD9EAD3"/>
        <bgColor indexed="64"/>
      </patternFill>
    </fill>
  </fills>
  <borders count="2">
    <border>
      <left/>
      <right/>
      <top/>
      <bottom/>
      <diagonal/>
    </border>
    <border>
      <left style="thin">
        <color rgb="FFD7D3E8"/>
      </left>
      <right style="thin">
        <color rgb="FFD7D3E8"/>
      </right>
      <top style="thin">
        <color rgb="FFD7D3E8"/>
      </top>
      <bottom style="thin">
        <color rgb="FFD7D3E8"/>
      </bottom>
      <diagonal/>
    </border>
  </borders>
  <cellStyleXfs count="1">
    <xf numFmtId="0" fontId="0" fillId="0" borderId="0"/>
  </cellStyleXfs>
  <cellXfs count="29">
    <xf numFmtId="0" fontId="0" fillId="0" borderId="0" xfId="0"/>
    <xf numFmtId="0" fontId="1" fillId="0" borderId="1" xfId="0" applyFont="1" applyBorder="1" applyAlignment="1">
      <alignment vertical="top" wrapText="1"/>
    </xf>
    <xf numFmtId="0" fontId="2" fillId="3" borderId="1" xfId="0" applyFont="1" applyFill="1" applyBorder="1" applyAlignment="1">
      <alignment vertical="top" wrapText="1"/>
    </xf>
    <xf numFmtId="0" fontId="2" fillId="3" borderId="1" xfId="0" applyFont="1" applyFill="1" applyBorder="1" applyAlignment="1">
      <alignment horizontal="center" vertical="top" wrapText="1"/>
    </xf>
    <xf numFmtId="0" fontId="2" fillId="5" borderId="1" xfId="0" applyFont="1" applyFill="1" applyBorder="1" applyAlignment="1">
      <alignment vertical="top" wrapText="1"/>
    </xf>
    <xf numFmtId="0" fontId="1" fillId="7" borderId="1" xfId="0" applyFont="1" applyFill="1" applyBorder="1" applyAlignment="1">
      <alignment vertical="top" wrapText="1"/>
    </xf>
    <xf numFmtId="0" fontId="1" fillId="0" borderId="0" xfId="0" applyFont="1" applyAlignment="1">
      <alignment vertical="top" wrapText="1"/>
    </xf>
    <xf numFmtId="0" fontId="1" fillId="9" borderId="1" xfId="0" applyFont="1" applyFill="1" applyBorder="1" applyAlignment="1">
      <alignment vertical="top" wrapText="1"/>
    </xf>
    <xf numFmtId="0" fontId="1" fillId="10" borderId="1" xfId="0" applyFont="1" applyFill="1" applyBorder="1" applyAlignment="1">
      <alignment vertical="top" wrapText="1"/>
    </xf>
    <xf numFmtId="0" fontId="1" fillId="6" borderId="1" xfId="0" applyFont="1" applyFill="1" applyBorder="1" applyAlignment="1">
      <alignment vertical="top" wrapText="1"/>
    </xf>
    <xf numFmtId="0" fontId="1" fillId="0" borderId="1" xfId="0" applyFont="1" applyBorder="1" applyAlignment="1">
      <alignment vertical="top" wrapText="1"/>
    </xf>
    <xf numFmtId="0" fontId="1" fillId="6" borderId="1" xfId="0" applyFont="1" applyFill="1" applyBorder="1" applyAlignment="1">
      <alignment vertical="top" wrapText="1"/>
    </xf>
    <xf numFmtId="0" fontId="5" fillId="3" borderId="1" xfId="0" applyFont="1" applyFill="1" applyBorder="1" applyAlignment="1">
      <alignment horizontal="center" vertical="top" wrapText="1"/>
    </xf>
    <xf numFmtId="0" fontId="3" fillId="2" borderId="0" xfId="0" applyFont="1" applyFill="1" applyAlignment="1">
      <alignment horizontal="left" vertical="top" wrapText="1"/>
    </xf>
    <xf numFmtId="0" fontId="5" fillId="8" borderId="0" xfId="0" applyFont="1" applyFill="1" applyAlignment="1">
      <alignment horizontal="left" vertical="top" wrapText="1"/>
    </xf>
    <xf numFmtId="0" fontId="5" fillId="4" borderId="0" xfId="0" applyFont="1" applyFill="1" applyAlignment="1">
      <alignment horizontal="left" vertical="top" wrapText="1"/>
    </xf>
    <xf numFmtId="0" fontId="2" fillId="5" borderId="0" xfId="0" applyFont="1" applyFill="1" applyAlignment="1">
      <alignment vertical="top" wrapText="1"/>
    </xf>
    <xf numFmtId="0" fontId="1" fillId="0" borderId="0" xfId="0" applyFont="1" applyAlignment="1">
      <alignment vertical="top" wrapText="1"/>
    </xf>
    <xf numFmtId="0" fontId="1" fillId="5" borderId="0" xfId="0" applyFont="1" applyFill="1" applyAlignment="1">
      <alignment vertical="top" wrapText="1"/>
    </xf>
    <xf numFmtId="0" fontId="1" fillId="7" borderId="1" xfId="0" applyFont="1" applyFill="1" applyBorder="1" applyAlignment="1">
      <alignment vertical="top" wrapText="1"/>
    </xf>
    <xf numFmtId="0" fontId="5" fillId="5" borderId="0" xfId="0" applyFont="1" applyFill="1" applyAlignment="1">
      <alignment horizontal="left" vertical="top" wrapText="1"/>
    </xf>
    <xf numFmtId="0" fontId="4" fillId="8" borderId="0" xfId="0" applyFont="1" applyFill="1" applyAlignment="1">
      <alignment horizontal="left" vertical="top" wrapText="1"/>
    </xf>
    <xf numFmtId="0" fontId="4" fillId="4" borderId="0" xfId="0" applyFont="1" applyFill="1" applyAlignment="1">
      <alignment horizontal="left" vertical="top" wrapText="1"/>
    </xf>
    <xf numFmtId="0" fontId="4" fillId="5" borderId="0" xfId="0" applyFont="1" applyFill="1" applyAlignment="1">
      <alignment horizontal="left" vertical="top" wrapText="1"/>
    </xf>
    <xf numFmtId="0" fontId="0" fillId="0" borderId="1" xfId="0" applyBorder="1" applyAlignment="1">
      <alignment vertical="top" wrapText="1"/>
    </xf>
    <xf numFmtId="0" fontId="0" fillId="0" borderId="1" xfId="0" applyBorder="1" applyAlignment="1">
      <alignment vertical="top" wrapText="1"/>
    </xf>
    <xf numFmtId="0" fontId="6" fillId="3" borderId="1" xfId="0" applyFont="1" applyFill="1" applyBorder="1" applyAlignment="1">
      <alignment horizontal="center" vertical="top" wrapText="1"/>
    </xf>
    <xf numFmtId="0" fontId="0" fillId="6" borderId="1" xfId="0" applyFont="1" applyFill="1" applyBorder="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C353F-E2EE-4BE3-881E-890F58D34A4D}">
  <sheetPr>
    <tabColor rgb="FFC8B6FF"/>
    <pageSetUpPr fitToPage="1"/>
  </sheetPr>
  <dimension ref="A1:C15"/>
  <sheetViews>
    <sheetView showGridLines="0" tabSelected="1" workbookViewId="0">
      <selection sqref="A1:C1"/>
    </sheetView>
  </sheetViews>
  <sheetFormatPr defaultRowHeight="13" x14ac:dyDescent="0.35"/>
  <cols>
    <col min="1" max="1" width="25.6328125" style="6" customWidth="1"/>
    <col min="2" max="3" width="56.6328125" style="6" customWidth="1"/>
    <col min="4" max="16384" width="8.7265625" style="6"/>
  </cols>
  <sheetData>
    <row r="1" spans="1:3" ht="36" customHeight="1" x14ac:dyDescent="0.35">
      <c r="A1" s="13" t="s">
        <v>173</v>
      </c>
      <c r="B1" s="13"/>
      <c r="C1" s="13"/>
    </row>
    <row r="3" spans="1:3" ht="45" customHeight="1" x14ac:dyDescent="0.35">
      <c r="A3" s="4" t="s">
        <v>0</v>
      </c>
      <c r="B3" s="11" t="s">
        <v>174</v>
      </c>
      <c r="C3" s="11"/>
    </row>
    <row r="4" spans="1:3" ht="45" customHeight="1" x14ac:dyDescent="0.35">
      <c r="A4" s="4" t="s">
        <v>175</v>
      </c>
      <c r="B4" s="11" t="s">
        <v>423</v>
      </c>
      <c r="C4" s="11"/>
    </row>
    <row r="5" spans="1:3" ht="45" customHeight="1" x14ac:dyDescent="0.35">
      <c r="A5" s="4" t="s">
        <v>176</v>
      </c>
      <c r="B5" s="11" t="s">
        <v>424</v>
      </c>
      <c r="C5" s="11"/>
    </row>
    <row r="6" spans="1:3" ht="45" customHeight="1" x14ac:dyDescent="0.35">
      <c r="A6" s="4" t="s">
        <v>177</v>
      </c>
      <c r="B6" s="11" t="s">
        <v>178</v>
      </c>
      <c r="C6" s="11"/>
    </row>
    <row r="7" spans="1:3" ht="45" customHeight="1" x14ac:dyDescent="0.35">
      <c r="A7" s="4" t="s">
        <v>179</v>
      </c>
      <c r="B7" s="11" t="s">
        <v>180</v>
      </c>
      <c r="C7" s="11"/>
    </row>
    <row r="8" spans="1:3" ht="45" customHeight="1" x14ac:dyDescent="0.35">
      <c r="A8" s="4" t="s">
        <v>181</v>
      </c>
      <c r="B8" s="11" t="s">
        <v>182</v>
      </c>
      <c r="C8" s="11"/>
    </row>
    <row r="9" spans="1:3" ht="38" customHeight="1" x14ac:dyDescent="0.35"/>
    <row r="10" spans="1:3" ht="38" customHeight="1" x14ac:dyDescent="0.35">
      <c r="A10" s="12" t="s">
        <v>183</v>
      </c>
      <c r="B10" s="12"/>
      <c r="C10" s="12"/>
    </row>
    <row r="11" spans="1:3" ht="42" customHeight="1" x14ac:dyDescent="0.35">
      <c r="A11" s="1" t="s">
        <v>1</v>
      </c>
      <c r="B11" s="10" t="s">
        <v>184</v>
      </c>
      <c r="C11" s="10"/>
    </row>
    <row r="12" spans="1:3" ht="42" customHeight="1" x14ac:dyDescent="0.35">
      <c r="A12" s="1" t="s">
        <v>185</v>
      </c>
      <c r="B12" s="10" t="s">
        <v>425</v>
      </c>
      <c r="C12" s="10"/>
    </row>
    <row r="13" spans="1:3" ht="42" customHeight="1" x14ac:dyDescent="0.35">
      <c r="A13" s="1" t="s">
        <v>186</v>
      </c>
      <c r="B13" s="10" t="s">
        <v>426</v>
      </c>
      <c r="C13" s="10"/>
    </row>
    <row r="14" spans="1:3" ht="42" customHeight="1" x14ac:dyDescent="0.35">
      <c r="A14" s="1" t="s">
        <v>187</v>
      </c>
      <c r="B14" s="10" t="s">
        <v>188</v>
      </c>
      <c r="C14" s="10"/>
    </row>
    <row r="15" spans="1:3" ht="42" customHeight="1" x14ac:dyDescent="0.35">
      <c r="A15" s="1" t="s">
        <v>189</v>
      </c>
      <c r="B15" s="10" t="s">
        <v>190</v>
      </c>
      <c r="C15" s="10"/>
    </row>
  </sheetData>
  <mergeCells count="13">
    <mergeCell ref="A1:C1"/>
    <mergeCell ref="B3:C3"/>
    <mergeCell ref="B4:C4"/>
    <mergeCell ref="B5:C5"/>
    <mergeCell ref="B6:C6"/>
    <mergeCell ref="B13:C13"/>
    <mergeCell ref="B14:C14"/>
    <mergeCell ref="B15:C15"/>
    <mergeCell ref="B7:C7"/>
    <mergeCell ref="B8:C8"/>
    <mergeCell ref="A10:C10"/>
    <mergeCell ref="B11:C11"/>
    <mergeCell ref="B12:C12"/>
  </mergeCells>
  <pageMargins left="0.7" right="0.7" top="0.75" bottom="0.75" header="0.3" footer="0.3"/>
  <pageSetup scale="88"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DD98C-DAB6-4856-B93D-5538720260D8}">
  <sheetPr>
    <tabColor rgb="FFC8B6FF"/>
    <pageSetUpPr fitToPage="1"/>
  </sheetPr>
  <dimension ref="A1:K35"/>
  <sheetViews>
    <sheetView showGridLines="0" topLeftCell="A9" workbookViewId="0">
      <selection activeCell="B20" sqref="B20"/>
    </sheetView>
  </sheetViews>
  <sheetFormatPr defaultRowHeight="13" x14ac:dyDescent="0.35"/>
  <cols>
    <col min="1" max="1" width="12.6328125" style="6" customWidth="1"/>
    <col min="2" max="2" width="31.6328125" style="6" customWidth="1"/>
    <col min="3" max="3" width="42.6328125" style="6" customWidth="1"/>
    <col min="4" max="7" width="14.6328125" style="6" customWidth="1"/>
    <col min="8" max="8" width="16.6328125" style="6" customWidth="1"/>
    <col min="9" max="9" width="14.6328125" style="6" customWidth="1"/>
    <col min="10" max="10" width="45.6328125" style="6" customWidth="1"/>
    <col min="11" max="11" width="12.6328125" style="6" hidden="1" customWidth="1"/>
    <col min="12" max="12" width="28.6328125" style="6" customWidth="1"/>
    <col min="13" max="13" width="24.6328125" style="6" customWidth="1"/>
    <col min="14" max="14" width="22.6328125" style="6" customWidth="1"/>
    <col min="15" max="15" width="26.6328125" style="6" customWidth="1"/>
    <col min="16" max="16" width="30.6328125" style="6" customWidth="1"/>
    <col min="17" max="17" width="34.6328125" style="6" customWidth="1"/>
    <col min="18" max="18" width="20.6328125" style="6" customWidth="1"/>
    <col min="19" max="19" width="32.6328125" style="6" customWidth="1"/>
    <col min="20" max="16384" width="8.7265625" style="6"/>
  </cols>
  <sheetData>
    <row r="1" spans="1:11" ht="36" customHeight="1" x14ac:dyDescent="0.35">
      <c r="A1" s="13" t="s">
        <v>191</v>
      </c>
      <c r="B1" s="13"/>
      <c r="C1" s="13"/>
      <c r="D1" s="13"/>
      <c r="E1" s="13"/>
      <c r="F1" s="13"/>
      <c r="G1" s="13"/>
      <c r="H1" s="13"/>
      <c r="I1" s="13"/>
      <c r="J1" s="13"/>
      <c r="K1" s="13"/>
    </row>
    <row r="2" spans="1:11" x14ac:dyDescent="0.35">
      <c r="A2" s="16" t="s">
        <v>427</v>
      </c>
      <c r="B2" s="17"/>
      <c r="C2" s="17"/>
      <c r="D2" s="17"/>
      <c r="E2" s="17"/>
      <c r="F2" s="17"/>
      <c r="G2" s="17"/>
      <c r="H2" s="17"/>
      <c r="I2" s="17"/>
      <c r="J2" s="17"/>
      <c r="K2" s="17"/>
    </row>
    <row r="4" spans="1:11" x14ac:dyDescent="0.35">
      <c r="A4" s="3" t="s">
        <v>192</v>
      </c>
      <c r="B4" s="3" t="s">
        <v>193</v>
      </c>
      <c r="C4" s="3" t="s">
        <v>428</v>
      </c>
      <c r="D4" s="3" t="s">
        <v>194</v>
      </c>
      <c r="E4" s="3" t="s">
        <v>195</v>
      </c>
      <c r="F4" s="3" t="s">
        <v>196</v>
      </c>
      <c r="G4" s="3" t="s">
        <v>197</v>
      </c>
      <c r="H4" s="3" t="s">
        <v>198</v>
      </c>
      <c r="I4" s="3" t="s">
        <v>199</v>
      </c>
      <c r="J4" s="3" t="s">
        <v>200</v>
      </c>
      <c r="K4" s="3" t="s">
        <v>201</v>
      </c>
    </row>
    <row r="5" spans="1:11" ht="42" customHeight="1" x14ac:dyDescent="0.35">
      <c r="A5" s="1" t="s">
        <v>202</v>
      </c>
      <c r="B5" s="1" t="s">
        <v>203</v>
      </c>
      <c r="C5" s="9" t="s">
        <v>204</v>
      </c>
      <c r="D5" s="5"/>
      <c r="E5" s="5"/>
      <c r="F5" s="5"/>
      <c r="G5" s="8">
        <f t="shared" ref="G5:G21" si="0">COUNT(D5:F5)</f>
        <v>0</v>
      </c>
      <c r="H5" s="8">
        <f>COUNTIF(D5:F5,1)*8+COUNTIF(D5:F5,2)*7+COUNTIF(D5:F5,3)*6+COUNTIF(D5:F5,4)*5+COUNTIF(D5:F5,5)*4+COUNTIF(D5:F5,6)*3+COUNTIF(D5:F5,7)*2+COUNTIF(D5:F5,8)*1</f>
        <v>0</v>
      </c>
      <c r="I5" s="8">
        <f t="shared" ref="I5:I21" si="1">RANK(H5,$H$5:$H$21,0)</f>
        <v>1</v>
      </c>
      <c r="J5" s="5"/>
      <c r="K5" s="1">
        <f>H5*100+G5*10+(22-ROW())/100</f>
        <v>0.17</v>
      </c>
    </row>
    <row r="6" spans="1:11" ht="42" customHeight="1" x14ac:dyDescent="0.35">
      <c r="A6" s="1" t="s">
        <v>205</v>
      </c>
      <c r="B6" s="1" t="s">
        <v>206</v>
      </c>
      <c r="C6" s="9" t="s">
        <v>207</v>
      </c>
      <c r="D6" s="5"/>
      <c r="E6" s="5"/>
      <c r="F6" s="5"/>
      <c r="G6" s="8">
        <f t="shared" si="0"/>
        <v>0</v>
      </c>
      <c r="H6" s="8">
        <f>COUNTIF(D6:F6,1)*8+COUNTIF(D6:F6,2)*7+COUNTIF(D6:F6,3)*6+COUNTIF(D6:F6,4)*5+COUNTIF(D6:F6,5)*4+COUNTIF(D6:F6,6)*3+COUNTIF(D6:F6,7)*2+COUNTIF(D6:F6,8)*1</f>
        <v>0</v>
      </c>
      <c r="I6" s="8">
        <f t="shared" si="1"/>
        <v>1</v>
      </c>
      <c r="J6" s="5"/>
      <c r="K6" s="1">
        <f>H6*100+G6*10+(22-ROW())/100</f>
        <v>0.16</v>
      </c>
    </row>
    <row r="7" spans="1:11" ht="42" customHeight="1" x14ac:dyDescent="0.35">
      <c r="A7" s="1" t="s">
        <v>208</v>
      </c>
      <c r="B7" s="1" t="s">
        <v>209</v>
      </c>
      <c r="C7" s="9" t="s">
        <v>210</v>
      </c>
      <c r="D7" s="5"/>
      <c r="E7" s="5"/>
      <c r="F7" s="5"/>
      <c r="G7" s="8">
        <f t="shared" si="0"/>
        <v>0</v>
      </c>
      <c r="H7" s="8">
        <f>COUNTIF(D7:F7,1)*8+COUNTIF(D7:F7,2)*7+COUNTIF(D7:F7,3)*6+COUNTIF(D7:F7,4)*5+COUNTIF(D7:F7,5)*4+COUNTIF(D7:F7,6)*3+COUNTIF(D7:F7,7)*2+COUNTIF(D7:F7,8)*1</f>
        <v>0</v>
      </c>
      <c r="I7" s="8">
        <f t="shared" si="1"/>
        <v>1</v>
      </c>
      <c r="J7" s="5"/>
      <c r="K7" s="1">
        <f>H7*100+G7*10+(22-ROW())/100</f>
        <v>0.15</v>
      </c>
    </row>
    <row r="8" spans="1:11" ht="42" customHeight="1" x14ac:dyDescent="0.35">
      <c r="A8" s="1" t="s">
        <v>211</v>
      </c>
      <c r="B8" s="1" t="s">
        <v>212</v>
      </c>
      <c r="C8" s="9" t="s">
        <v>213</v>
      </c>
      <c r="D8" s="5"/>
      <c r="E8" s="5"/>
      <c r="F8" s="5"/>
      <c r="G8" s="8">
        <f t="shared" si="0"/>
        <v>0</v>
      </c>
      <c r="H8" s="8">
        <f>COUNTIF(D8:F8,1)*8+COUNTIF(D8:F8,2)*7+COUNTIF(D8:F8,3)*6+COUNTIF(D8:F8,4)*5+COUNTIF(D8:F8,5)*4+COUNTIF(D8:F8,6)*3+COUNTIF(D8:F8,7)*2+COUNTIF(D8:F8,8)*1</f>
        <v>0</v>
      </c>
      <c r="I8" s="8">
        <f t="shared" si="1"/>
        <v>1</v>
      </c>
      <c r="J8" s="5"/>
      <c r="K8" s="1">
        <f>H8*100+G8*10+(22-ROW())/100</f>
        <v>0.14000000000000001</v>
      </c>
    </row>
    <row r="9" spans="1:11" ht="42" customHeight="1" x14ac:dyDescent="0.35">
      <c r="A9" s="1" t="s">
        <v>214</v>
      </c>
      <c r="B9" s="1" t="s">
        <v>215</v>
      </c>
      <c r="C9" s="9" t="s">
        <v>216</v>
      </c>
      <c r="D9" s="5"/>
      <c r="E9" s="5"/>
      <c r="F9" s="5"/>
      <c r="G9" s="8">
        <f t="shared" si="0"/>
        <v>0</v>
      </c>
      <c r="H9" s="8">
        <f>COUNTIF(D9:F9,1)*8+COUNTIF(D9:F9,2)*7+COUNTIF(D9:F9,3)*6+COUNTIF(D9:F9,4)*5+COUNTIF(D9:F9,5)*4+COUNTIF(D9:F9,6)*3+COUNTIF(D9:F9,7)*2+COUNTIF(D9:F9,8)*1</f>
        <v>0</v>
      </c>
      <c r="I9" s="8">
        <f t="shared" si="1"/>
        <v>1</v>
      </c>
      <c r="J9" s="5"/>
      <c r="K9" s="1">
        <f>H9*100+G9*10+(22-ROW())/100</f>
        <v>0.13</v>
      </c>
    </row>
    <row r="10" spans="1:11" ht="42" customHeight="1" x14ac:dyDescent="0.35">
      <c r="A10" s="1" t="s">
        <v>217</v>
      </c>
      <c r="B10" s="1" t="s">
        <v>218</v>
      </c>
      <c r="C10" s="9" t="s">
        <v>219</v>
      </c>
      <c r="D10" s="5"/>
      <c r="E10" s="5"/>
      <c r="F10" s="5"/>
      <c r="G10" s="8">
        <f t="shared" si="0"/>
        <v>0</v>
      </c>
      <c r="H10" s="8">
        <f>COUNTIF(D10:F10,1)*8+COUNTIF(D10:F10,2)*7+COUNTIF(D10:F10,3)*6+COUNTIF(D10:F10,4)*5+COUNTIF(D10:F10,5)*4+COUNTIF(D10:F10,6)*3+COUNTIF(D10:F10,7)*2+COUNTIF(D10:F10,8)*1</f>
        <v>0</v>
      </c>
      <c r="I10" s="8">
        <f t="shared" si="1"/>
        <v>1</v>
      </c>
      <c r="J10" s="5"/>
      <c r="K10" s="1">
        <f>H10*100+G10*10+(22-ROW())/100</f>
        <v>0.12</v>
      </c>
    </row>
    <row r="11" spans="1:11" ht="42" customHeight="1" x14ac:dyDescent="0.35">
      <c r="A11" s="1" t="s">
        <v>220</v>
      </c>
      <c r="B11" s="1" t="s">
        <v>221</v>
      </c>
      <c r="C11" s="9" t="s">
        <v>222</v>
      </c>
      <c r="D11" s="5"/>
      <c r="E11" s="5"/>
      <c r="F11" s="5"/>
      <c r="G11" s="8">
        <f t="shared" si="0"/>
        <v>0</v>
      </c>
      <c r="H11" s="8">
        <f>COUNTIF(D11:F11,1)*8+COUNTIF(D11:F11,2)*7+COUNTIF(D11:F11,3)*6+COUNTIF(D11:F11,4)*5+COUNTIF(D11:F11,5)*4+COUNTIF(D11:F11,6)*3+COUNTIF(D11:F11,7)*2+COUNTIF(D11:F11,8)*1</f>
        <v>0</v>
      </c>
      <c r="I11" s="8">
        <f t="shared" si="1"/>
        <v>1</v>
      </c>
      <c r="J11" s="5"/>
      <c r="K11" s="1">
        <f>H11*100+G11*10+(22-ROW())/100</f>
        <v>0.11</v>
      </c>
    </row>
    <row r="12" spans="1:11" ht="42" customHeight="1" x14ac:dyDescent="0.35">
      <c r="A12" s="1" t="s">
        <v>223</v>
      </c>
      <c r="B12" s="1" t="s">
        <v>224</v>
      </c>
      <c r="C12" s="9" t="s">
        <v>225</v>
      </c>
      <c r="D12" s="5"/>
      <c r="E12" s="5"/>
      <c r="F12" s="5"/>
      <c r="G12" s="8">
        <f t="shared" si="0"/>
        <v>0</v>
      </c>
      <c r="H12" s="8">
        <f>COUNTIF(D12:F12,1)*8+COUNTIF(D12:F12,2)*7+COUNTIF(D12:F12,3)*6+COUNTIF(D12:F12,4)*5+COUNTIF(D12:F12,5)*4+COUNTIF(D12:F12,6)*3+COUNTIF(D12:F12,7)*2+COUNTIF(D12:F12,8)*1</f>
        <v>0</v>
      </c>
      <c r="I12" s="8">
        <f t="shared" si="1"/>
        <v>1</v>
      </c>
      <c r="J12" s="5"/>
      <c r="K12" s="1">
        <f>H12*100+G12*10+(22-ROW())/100</f>
        <v>0.1</v>
      </c>
    </row>
    <row r="13" spans="1:11" ht="42" customHeight="1" x14ac:dyDescent="0.35">
      <c r="A13" s="1" t="s">
        <v>226</v>
      </c>
      <c r="B13" s="1" t="s">
        <v>227</v>
      </c>
      <c r="C13" s="9" t="s">
        <v>228</v>
      </c>
      <c r="D13" s="5"/>
      <c r="E13" s="5"/>
      <c r="F13" s="5"/>
      <c r="G13" s="8">
        <f t="shared" si="0"/>
        <v>0</v>
      </c>
      <c r="H13" s="8">
        <f>COUNTIF(D13:F13,1)*8+COUNTIF(D13:F13,2)*7+COUNTIF(D13:F13,3)*6+COUNTIF(D13:F13,4)*5+COUNTIF(D13:F13,5)*4+COUNTIF(D13:F13,6)*3+COUNTIF(D13:F13,7)*2+COUNTIF(D13:F13,8)*1</f>
        <v>0</v>
      </c>
      <c r="I13" s="8">
        <f t="shared" si="1"/>
        <v>1</v>
      </c>
      <c r="J13" s="5"/>
      <c r="K13" s="1">
        <f>H13*100+G13*10+(22-ROW())/100</f>
        <v>0.09</v>
      </c>
    </row>
    <row r="14" spans="1:11" ht="42" customHeight="1" x14ac:dyDescent="0.35">
      <c r="A14" s="1" t="s">
        <v>229</v>
      </c>
      <c r="B14" s="1" t="s">
        <v>230</v>
      </c>
      <c r="C14" s="9" t="s">
        <v>231</v>
      </c>
      <c r="D14" s="5"/>
      <c r="E14" s="5"/>
      <c r="F14" s="5"/>
      <c r="G14" s="8">
        <f t="shared" si="0"/>
        <v>0</v>
      </c>
      <c r="H14" s="8">
        <f>COUNTIF(D14:F14,1)*8+COUNTIF(D14:F14,2)*7+COUNTIF(D14:F14,3)*6+COUNTIF(D14:F14,4)*5+COUNTIF(D14:F14,5)*4+COUNTIF(D14:F14,6)*3+COUNTIF(D14:F14,7)*2+COUNTIF(D14:F14,8)*1</f>
        <v>0</v>
      </c>
      <c r="I14" s="8">
        <f t="shared" si="1"/>
        <v>1</v>
      </c>
      <c r="J14" s="5"/>
      <c r="K14" s="1">
        <f>H14*100+G14*10+(22-ROW())/100</f>
        <v>0.08</v>
      </c>
    </row>
    <row r="15" spans="1:11" ht="42" customHeight="1" x14ac:dyDescent="0.35">
      <c r="A15" s="1" t="s">
        <v>232</v>
      </c>
      <c r="B15" s="1" t="s">
        <v>233</v>
      </c>
      <c r="C15" s="9" t="s">
        <v>234</v>
      </c>
      <c r="D15" s="5"/>
      <c r="E15" s="5"/>
      <c r="F15" s="5"/>
      <c r="G15" s="8">
        <f t="shared" si="0"/>
        <v>0</v>
      </c>
      <c r="H15" s="8">
        <f>COUNTIF(D15:F15,1)*8+COUNTIF(D15:F15,2)*7+COUNTIF(D15:F15,3)*6+COUNTIF(D15:F15,4)*5+COUNTIF(D15:F15,5)*4+COUNTIF(D15:F15,6)*3+COUNTIF(D15:F15,7)*2+COUNTIF(D15:F15,8)*1</f>
        <v>0</v>
      </c>
      <c r="I15" s="8">
        <f t="shared" si="1"/>
        <v>1</v>
      </c>
      <c r="J15" s="5"/>
      <c r="K15" s="1">
        <f>H15*100+G15*10+(22-ROW())/100</f>
        <v>7.0000000000000007E-2</v>
      </c>
    </row>
    <row r="16" spans="1:11" ht="42" customHeight="1" x14ac:dyDescent="0.35">
      <c r="A16" s="1" t="s">
        <v>235</v>
      </c>
      <c r="B16" s="1" t="s">
        <v>236</v>
      </c>
      <c r="C16" s="9" t="s">
        <v>237</v>
      </c>
      <c r="D16" s="5"/>
      <c r="E16" s="5"/>
      <c r="F16" s="5"/>
      <c r="G16" s="8">
        <f t="shared" si="0"/>
        <v>0</v>
      </c>
      <c r="H16" s="8">
        <f>COUNTIF(D16:F16,1)*8+COUNTIF(D16:F16,2)*7+COUNTIF(D16:F16,3)*6+COUNTIF(D16:F16,4)*5+COUNTIF(D16:F16,5)*4+COUNTIF(D16:F16,6)*3+COUNTIF(D16:F16,7)*2+COUNTIF(D16:F16,8)*1</f>
        <v>0</v>
      </c>
      <c r="I16" s="8">
        <f t="shared" si="1"/>
        <v>1</v>
      </c>
      <c r="J16" s="5"/>
      <c r="K16" s="1">
        <f>H16*100+G16*10+(22-ROW())/100</f>
        <v>0.06</v>
      </c>
    </row>
    <row r="17" spans="1:11" ht="42" customHeight="1" x14ac:dyDescent="0.35">
      <c r="A17" s="1" t="s">
        <v>238</v>
      </c>
      <c r="B17" s="1" t="s">
        <v>239</v>
      </c>
      <c r="C17" s="9" t="s">
        <v>240</v>
      </c>
      <c r="D17" s="5"/>
      <c r="E17" s="5"/>
      <c r="F17" s="5"/>
      <c r="G17" s="8">
        <f t="shared" si="0"/>
        <v>0</v>
      </c>
      <c r="H17" s="8">
        <f>COUNTIF(D17:F17,1)*8+COUNTIF(D17:F17,2)*7+COUNTIF(D17:F17,3)*6+COUNTIF(D17:F17,4)*5+COUNTIF(D17:F17,5)*4+COUNTIF(D17:F17,6)*3+COUNTIF(D17:F17,7)*2+COUNTIF(D17:F17,8)*1</f>
        <v>0</v>
      </c>
      <c r="I17" s="8">
        <f t="shared" si="1"/>
        <v>1</v>
      </c>
      <c r="J17" s="5"/>
      <c r="K17" s="1">
        <f>H17*100+G17*10+(22-ROW())/100</f>
        <v>0.05</v>
      </c>
    </row>
    <row r="18" spans="1:11" ht="42" customHeight="1" x14ac:dyDescent="0.35">
      <c r="A18" s="1" t="s">
        <v>241</v>
      </c>
      <c r="B18" s="1" t="s">
        <v>242</v>
      </c>
      <c r="C18" s="9" t="s">
        <v>243</v>
      </c>
      <c r="D18" s="5"/>
      <c r="E18" s="5"/>
      <c r="F18" s="5"/>
      <c r="G18" s="8">
        <f t="shared" si="0"/>
        <v>0</v>
      </c>
      <c r="H18" s="8">
        <f>COUNTIF(D18:F18,1)*8+COUNTIF(D18:F18,2)*7+COUNTIF(D18:F18,3)*6+COUNTIF(D18:F18,4)*5+COUNTIF(D18:F18,5)*4+COUNTIF(D18:F18,6)*3+COUNTIF(D18:F18,7)*2+COUNTIF(D18:F18,8)*1</f>
        <v>0</v>
      </c>
      <c r="I18" s="8">
        <f t="shared" si="1"/>
        <v>1</v>
      </c>
      <c r="J18" s="5"/>
      <c r="K18" s="1">
        <f>H18*100+G18*10+(22-ROW())/100</f>
        <v>0.04</v>
      </c>
    </row>
    <row r="19" spans="1:11" ht="42" customHeight="1" x14ac:dyDescent="0.35">
      <c r="A19" s="1" t="s">
        <v>244</v>
      </c>
      <c r="B19" s="1" t="s">
        <v>245</v>
      </c>
      <c r="C19" s="9" t="s">
        <v>246</v>
      </c>
      <c r="D19" s="5"/>
      <c r="E19" s="5"/>
      <c r="F19" s="5"/>
      <c r="G19" s="8">
        <f t="shared" si="0"/>
        <v>0</v>
      </c>
      <c r="H19" s="8">
        <f>COUNTIF(D19:F19,1)*8+COUNTIF(D19:F19,2)*7+COUNTIF(D19:F19,3)*6+COUNTIF(D19:F19,4)*5+COUNTIF(D19:F19,5)*4+COUNTIF(D19:F19,6)*3+COUNTIF(D19:F19,7)*2+COUNTIF(D19:F19,8)*1</f>
        <v>0</v>
      </c>
      <c r="I19" s="8">
        <f t="shared" si="1"/>
        <v>1</v>
      </c>
      <c r="J19" s="5"/>
      <c r="K19" s="1">
        <f>H19*100+G19*10+(22-ROW())/100</f>
        <v>0.03</v>
      </c>
    </row>
    <row r="20" spans="1:11" ht="42" customHeight="1" x14ac:dyDescent="0.35">
      <c r="A20" s="1" t="s">
        <v>247</v>
      </c>
      <c r="B20" s="1" t="s">
        <v>248</v>
      </c>
      <c r="C20" s="9" t="s">
        <v>249</v>
      </c>
      <c r="D20" s="5"/>
      <c r="E20" s="5"/>
      <c r="F20" s="5"/>
      <c r="G20" s="8">
        <f t="shared" si="0"/>
        <v>0</v>
      </c>
      <c r="H20" s="8">
        <f>COUNTIF(D20:F20,1)*8+COUNTIF(D20:F20,2)*7+COUNTIF(D20:F20,3)*6+COUNTIF(D20:F20,4)*5+COUNTIF(D20:F20,5)*4+COUNTIF(D20:F20,6)*3+COUNTIF(D20:F20,7)*2+COUNTIF(D20:F20,8)*1</f>
        <v>0</v>
      </c>
      <c r="I20" s="8">
        <f t="shared" si="1"/>
        <v>1</v>
      </c>
      <c r="J20" s="5"/>
      <c r="K20" s="1">
        <f>H20*100+G20*10+(22-ROW())/100</f>
        <v>0.02</v>
      </c>
    </row>
    <row r="21" spans="1:11" ht="42" customHeight="1" x14ac:dyDescent="0.35">
      <c r="A21" s="1" t="s">
        <v>250</v>
      </c>
      <c r="B21" s="1" t="s">
        <v>251</v>
      </c>
      <c r="C21" s="9" t="s">
        <v>252</v>
      </c>
      <c r="D21" s="5"/>
      <c r="E21" s="5"/>
      <c r="F21" s="5"/>
      <c r="G21" s="8">
        <f t="shared" si="0"/>
        <v>0</v>
      </c>
      <c r="H21" s="8">
        <f>COUNTIF(D21:F21,1)*8+COUNTIF(D21:F21,2)*7+COUNTIF(D21:F21,3)*6+COUNTIF(D21:F21,4)*5+COUNTIF(D21:F21,5)*4+COUNTIF(D21:F21,6)*3+COUNTIF(D21:F21,7)*2+COUNTIF(D21:F21,8)*1</f>
        <v>0</v>
      </c>
      <c r="I21" s="8">
        <f t="shared" si="1"/>
        <v>1</v>
      </c>
      <c r="J21" s="5"/>
      <c r="K21" s="1">
        <f>H21*100+G21*10+(22-ROW())/100</f>
        <v>0.01</v>
      </c>
    </row>
    <row r="22" spans="1:11" ht="42" customHeight="1" x14ac:dyDescent="0.35"/>
    <row r="23" spans="1:11" ht="42" customHeight="1" x14ac:dyDescent="0.35">
      <c r="A23" s="26" t="s">
        <v>253</v>
      </c>
      <c r="B23" s="26"/>
      <c r="C23" s="26"/>
      <c r="D23" s="26"/>
      <c r="E23" s="26"/>
      <c r="F23" s="26"/>
      <c r="G23" s="26"/>
      <c r="H23" s="26"/>
      <c r="I23" s="26"/>
      <c r="J23" s="26"/>
      <c r="K23" s="26"/>
    </row>
    <row r="24" spans="1:11" ht="42" customHeight="1" x14ac:dyDescent="0.35">
      <c r="A24" s="25" t="s">
        <v>117</v>
      </c>
      <c r="B24" s="25" t="s">
        <v>254</v>
      </c>
      <c r="C24" s="25" t="s">
        <v>255</v>
      </c>
      <c r="D24" s="25" t="s">
        <v>2</v>
      </c>
      <c r="E24" s="24" t="s">
        <v>256</v>
      </c>
      <c r="F24" s="24"/>
      <c r="G24" s="24"/>
      <c r="H24" s="24"/>
      <c r="I24" s="24"/>
      <c r="J24" s="24"/>
      <c r="K24" s="24"/>
    </row>
    <row r="25" spans="1:11" ht="42" customHeight="1" x14ac:dyDescent="0.35">
      <c r="A25" s="25" t="s">
        <v>257</v>
      </c>
      <c r="B25" s="25">
        <f>COUNT(D5:D21)</f>
        <v>0</v>
      </c>
      <c r="C25" s="25">
        <v>8</v>
      </c>
      <c r="D25" s="25" t="str">
        <f>IF(B25=C25,"Complete","Fix selection count")</f>
        <v>Fix selection count</v>
      </c>
      <c r="E25" s="24" t="s">
        <v>429</v>
      </c>
      <c r="F25" s="24"/>
      <c r="G25" s="24"/>
      <c r="H25" s="24"/>
      <c r="I25" s="24"/>
      <c r="J25" s="24"/>
      <c r="K25" s="24"/>
    </row>
    <row r="26" spans="1:11" ht="42" customHeight="1" x14ac:dyDescent="0.35">
      <c r="A26" s="25" t="s">
        <v>258</v>
      </c>
      <c r="B26" s="25">
        <f>COUNT(E5:E21)</f>
        <v>0</v>
      </c>
      <c r="C26" s="25">
        <v>8</v>
      </c>
      <c r="D26" s="25" t="str">
        <f>IF(B26=C26,"Complete","Fix selection count")</f>
        <v>Fix selection count</v>
      </c>
      <c r="E26" s="24" t="s">
        <v>429</v>
      </c>
      <c r="F26" s="24"/>
      <c r="G26" s="24"/>
      <c r="H26" s="24"/>
      <c r="I26" s="24"/>
      <c r="J26" s="24"/>
      <c r="K26" s="24"/>
    </row>
    <row r="27" spans="1:11" ht="42" customHeight="1" x14ac:dyDescent="0.35">
      <c r="A27" s="25" t="s">
        <v>5</v>
      </c>
      <c r="B27" s="25">
        <f>COUNT(F5:F21)</f>
        <v>0</v>
      </c>
      <c r="C27" s="25">
        <v>8</v>
      </c>
      <c r="D27" s="25" t="str">
        <f>IF(B27=C27,"Complete","Fix selection count")</f>
        <v>Fix selection count</v>
      </c>
      <c r="E27" s="24" t="s">
        <v>429</v>
      </c>
      <c r="F27" s="24"/>
      <c r="G27" s="24"/>
      <c r="H27" s="24"/>
      <c r="I27" s="24"/>
      <c r="J27" s="24"/>
      <c r="K27" s="24"/>
    </row>
    <row r="28" spans="1:11" ht="14.5" x14ac:dyDescent="0.35">
      <c r="A28" s="28"/>
      <c r="B28" s="28"/>
      <c r="C28" s="28"/>
      <c r="D28" s="28"/>
      <c r="E28" s="28"/>
      <c r="F28" s="28"/>
      <c r="G28" s="28"/>
      <c r="H28" s="28"/>
      <c r="I28" s="28"/>
      <c r="J28" s="28"/>
      <c r="K28" s="28"/>
    </row>
    <row r="29" spans="1:11" ht="14.5" x14ac:dyDescent="0.35">
      <c r="A29" s="26" t="s">
        <v>430</v>
      </c>
      <c r="B29" s="26"/>
      <c r="C29" s="26"/>
      <c r="D29" s="26"/>
      <c r="E29" s="26"/>
      <c r="F29" s="26"/>
      <c r="G29" s="26"/>
      <c r="H29" s="26"/>
      <c r="I29" s="26"/>
      <c r="J29" s="26"/>
      <c r="K29" s="26"/>
    </row>
    <row r="30" spans="1:11" ht="34" customHeight="1" x14ac:dyDescent="0.35">
      <c r="A30" s="27" t="s">
        <v>431</v>
      </c>
      <c r="B30" s="24"/>
      <c r="C30" s="24"/>
      <c r="D30" s="24"/>
      <c r="E30" s="24"/>
      <c r="F30" s="24"/>
      <c r="G30" s="24"/>
      <c r="H30" s="24"/>
      <c r="I30" s="24"/>
      <c r="J30" s="24"/>
      <c r="K30" s="24"/>
    </row>
    <row r="31" spans="1:11" ht="34" customHeight="1" x14ac:dyDescent="0.35">
      <c r="A31" s="24"/>
      <c r="B31" s="24"/>
      <c r="C31" s="24"/>
      <c r="D31" s="24"/>
      <c r="E31" s="24"/>
      <c r="F31" s="24"/>
      <c r="G31" s="24"/>
      <c r="H31" s="24"/>
      <c r="I31" s="24"/>
      <c r="J31" s="24"/>
      <c r="K31" s="24"/>
    </row>
    <row r="32" spans="1:11" ht="34" customHeight="1" x14ac:dyDescent="0.35">
      <c r="A32" s="24"/>
      <c r="B32" s="24"/>
      <c r="C32" s="24"/>
      <c r="D32" s="24"/>
      <c r="E32" s="24"/>
      <c r="F32" s="24"/>
      <c r="G32" s="24"/>
      <c r="H32" s="24"/>
      <c r="I32" s="24"/>
      <c r="J32" s="24"/>
      <c r="K32" s="24"/>
    </row>
    <row r="33" spans="1:11" ht="34" customHeight="1" x14ac:dyDescent="0.35">
      <c r="A33" s="24"/>
      <c r="B33" s="24"/>
      <c r="C33" s="24"/>
      <c r="D33" s="24"/>
      <c r="E33" s="24"/>
      <c r="F33" s="24"/>
      <c r="G33" s="24"/>
      <c r="H33" s="24"/>
      <c r="I33" s="24"/>
      <c r="J33" s="24"/>
      <c r="K33" s="24"/>
    </row>
    <row r="34" spans="1:11" ht="38" customHeight="1" x14ac:dyDescent="0.35">
      <c r="A34" s="28"/>
      <c r="B34" s="28"/>
      <c r="C34" s="28"/>
      <c r="D34" s="28"/>
      <c r="E34" s="28"/>
      <c r="F34" s="28"/>
      <c r="G34" s="28"/>
      <c r="H34" s="28"/>
      <c r="I34" s="28"/>
      <c r="J34" s="28"/>
      <c r="K34" s="28"/>
    </row>
    <row r="35" spans="1:11" ht="38" customHeight="1" x14ac:dyDescent="0.35">
      <c r="A35" s="28"/>
      <c r="B35" s="28"/>
      <c r="C35" s="28"/>
      <c r="D35" s="28"/>
      <c r="E35" s="28"/>
      <c r="F35" s="28"/>
      <c r="G35" s="28"/>
      <c r="H35" s="28"/>
      <c r="I35" s="28"/>
      <c r="J35" s="28"/>
      <c r="K35" s="28"/>
    </row>
  </sheetData>
  <mergeCells count="9">
    <mergeCell ref="A1:K1"/>
    <mergeCell ref="A2:K2"/>
    <mergeCell ref="A30:K33"/>
    <mergeCell ref="A23:K23"/>
    <mergeCell ref="E24:K24"/>
    <mergeCell ref="E25:K25"/>
    <mergeCell ref="E26:K26"/>
    <mergeCell ref="E27:K27"/>
    <mergeCell ref="A29:K29"/>
  </mergeCells>
  <dataValidations count="1">
    <dataValidation type="list" allowBlank="1" showInputMessage="1" showErrorMessage="1" sqref="D5:F21" xr:uid="{058AD2BE-E5AC-4C5F-A687-37933E89581A}">
      <formula1>"1,2,3,4,5,6,7,8"</formula1>
    </dataValidation>
  </dataValidations>
  <pageMargins left="0.7" right="0.7" top="0.75" bottom="0.75" header="0.3" footer="0.3"/>
  <pageSetup scale="55"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174D4-22E0-4BF4-8364-35BDEC3BD11D}">
  <sheetPr>
    <tabColor rgb="FFC8B6FF"/>
    <pageSetUpPr fitToPage="1"/>
  </sheetPr>
  <dimension ref="A1:E27"/>
  <sheetViews>
    <sheetView showGridLines="0" workbookViewId="0">
      <selection activeCell="F6" sqref="F6"/>
    </sheetView>
  </sheetViews>
  <sheetFormatPr defaultRowHeight="13" x14ac:dyDescent="0.35"/>
  <cols>
    <col min="1" max="1" width="28.6328125" style="6" customWidth="1"/>
    <col min="2" max="4" width="36.6328125" style="6" customWidth="1"/>
    <col min="5" max="6" width="46.6328125" style="6" customWidth="1"/>
    <col min="7" max="7" width="48.6328125" style="6" customWidth="1"/>
    <col min="8" max="16384" width="8.7265625" style="6"/>
  </cols>
  <sheetData>
    <row r="1" spans="1:5" ht="36" customHeight="1" x14ac:dyDescent="0.35">
      <c r="A1" s="13" t="s">
        <v>259</v>
      </c>
      <c r="B1" s="13"/>
      <c r="C1" s="13"/>
      <c r="D1" s="13"/>
      <c r="E1" s="13"/>
    </row>
    <row r="2" spans="1:5" x14ac:dyDescent="0.35">
      <c r="A2" s="18" t="s">
        <v>432</v>
      </c>
      <c r="B2" s="17"/>
      <c r="C2" s="17"/>
      <c r="D2" s="17"/>
      <c r="E2" s="17"/>
    </row>
    <row r="4" spans="1:5" ht="44" customHeight="1" x14ac:dyDescent="0.35">
      <c r="A4" s="3" t="s">
        <v>260</v>
      </c>
      <c r="B4" s="3" t="s">
        <v>261</v>
      </c>
      <c r="C4" s="3" t="s">
        <v>262</v>
      </c>
      <c r="D4" s="3" t="s">
        <v>263</v>
      </c>
      <c r="E4" s="3" t="s">
        <v>264</v>
      </c>
    </row>
    <row r="5" spans="1:5" ht="58" customHeight="1" x14ac:dyDescent="0.35">
      <c r="A5" s="5"/>
      <c r="B5" s="5"/>
      <c r="C5" s="5"/>
      <c r="D5" s="5"/>
      <c r="E5" s="5"/>
    </row>
    <row r="6" spans="1:5" ht="58" customHeight="1" x14ac:dyDescent="0.35">
      <c r="A6" s="5"/>
      <c r="B6" s="5"/>
      <c r="C6" s="5"/>
      <c r="D6" s="5"/>
      <c r="E6" s="5"/>
    </row>
    <row r="7" spans="1:5" ht="58" customHeight="1" x14ac:dyDescent="0.35">
      <c r="A7" s="5"/>
      <c r="B7" s="5"/>
      <c r="C7" s="5"/>
      <c r="D7" s="5"/>
      <c r="E7" s="5"/>
    </row>
    <row r="8" spans="1:5" ht="58" customHeight="1" x14ac:dyDescent="0.35">
      <c r="A8" s="5"/>
      <c r="B8" s="5"/>
      <c r="C8" s="5"/>
      <c r="D8" s="5"/>
      <c r="E8" s="5"/>
    </row>
    <row r="9" spans="1:5" ht="58" customHeight="1" x14ac:dyDescent="0.35">
      <c r="A9" s="5"/>
      <c r="B9" s="5"/>
      <c r="C9" s="5"/>
      <c r="D9" s="5"/>
      <c r="E9" s="5"/>
    </row>
    <row r="10" spans="1:5" ht="58" customHeight="1" x14ac:dyDescent="0.35">
      <c r="A10" s="5"/>
      <c r="B10" s="5"/>
      <c r="C10" s="5"/>
      <c r="D10" s="5"/>
      <c r="E10" s="5"/>
    </row>
    <row r="11" spans="1:5" ht="44" customHeight="1" x14ac:dyDescent="0.35"/>
    <row r="12" spans="1:5" ht="44" customHeight="1" x14ac:dyDescent="0.35">
      <c r="A12" s="14" t="s">
        <v>265</v>
      </c>
      <c r="B12" s="14"/>
      <c r="C12" s="14"/>
      <c r="D12" s="14"/>
      <c r="E12" s="14"/>
    </row>
    <row r="13" spans="1:5" ht="44" customHeight="1" x14ac:dyDescent="0.35">
      <c r="A13" s="3" t="s">
        <v>266</v>
      </c>
      <c r="B13" s="3" t="s">
        <v>267</v>
      </c>
      <c r="C13" s="3" t="s">
        <v>268</v>
      </c>
      <c r="D13" s="3" t="s">
        <v>269</v>
      </c>
      <c r="E13" s="3" t="s">
        <v>172</v>
      </c>
    </row>
    <row r="14" spans="1:5" ht="44" customHeight="1" x14ac:dyDescent="0.35">
      <c r="A14" s="1" t="s">
        <v>270</v>
      </c>
      <c r="B14" s="5"/>
      <c r="C14" s="5"/>
      <c r="D14" s="5"/>
      <c r="E14" s="1" t="s">
        <v>271</v>
      </c>
    </row>
    <row r="15" spans="1:5" ht="44" customHeight="1" x14ac:dyDescent="0.35">
      <c r="A15" s="1" t="s">
        <v>272</v>
      </c>
      <c r="B15" s="5"/>
      <c r="C15" s="5"/>
      <c r="D15" s="5"/>
      <c r="E15" s="1" t="s">
        <v>273</v>
      </c>
    </row>
    <row r="16" spans="1:5" ht="44" customHeight="1" x14ac:dyDescent="0.35">
      <c r="A16" s="1" t="s">
        <v>274</v>
      </c>
      <c r="B16" s="5"/>
      <c r="C16" s="5"/>
      <c r="D16" s="5"/>
      <c r="E16" s="1" t="s">
        <v>275</v>
      </c>
    </row>
    <row r="17" spans="1:5" ht="44" customHeight="1" x14ac:dyDescent="0.35">
      <c r="A17" s="1" t="s">
        <v>276</v>
      </c>
      <c r="B17" s="5"/>
      <c r="C17" s="5"/>
      <c r="D17" s="5"/>
      <c r="E17" s="1" t="s">
        <v>277</v>
      </c>
    </row>
    <row r="18" spans="1:5" ht="44" customHeight="1" x14ac:dyDescent="0.35">
      <c r="A18" s="1" t="s">
        <v>278</v>
      </c>
      <c r="B18" s="5"/>
      <c r="C18" s="5"/>
      <c r="D18" s="5"/>
      <c r="E18" s="1" t="s">
        <v>279</v>
      </c>
    </row>
    <row r="19" spans="1:5" ht="44" customHeight="1" x14ac:dyDescent="0.35">
      <c r="A19" s="1" t="s">
        <v>280</v>
      </c>
      <c r="B19" s="5"/>
      <c r="C19" s="5"/>
      <c r="D19" s="5"/>
      <c r="E19" s="1" t="s">
        <v>281</v>
      </c>
    </row>
    <row r="20" spans="1:5" ht="44" customHeight="1" x14ac:dyDescent="0.35">
      <c r="A20" s="1" t="s">
        <v>282</v>
      </c>
      <c r="B20" s="5"/>
      <c r="C20" s="5"/>
      <c r="D20" s="5"/>
      <c r="E20" s="1" t="s">
        <v>283</v>
      </c>
    </row>
    <row r="22" spans="1:5" x14ac:dyDescent="0.35">
      <c r="A22" s="15" t="s">
        <v>284</v>
      </c>
      <c r="B22" s="15"/>
      <c r="C22" s="15"/>
      <c r="D22" s="15"/>
      <c r="E22" s="15"/>
    </row>
    <row r="23" spans="1:5" x14ac:dyDescent="0.35">
      <c r="A23" s="3" t="s">
        <v>285</v>
      </c>
      <c r="B23" s="3" t="s">
        <v>286</v>
      </c>
      <c r="C23" s="3" t="s">
        <v>287</v>
      </c>
      <c r="D23" s="3" t="s">
        <v>288</v>
      </c>
      <c r="E23" s="3" t="s">
        <v>289</v>
      </c>
    </row>
    <row r="24" spans="1:5" ht="62" customHeight="1" x14ac:dyDescent="0.35">
      <c r="A24" s="1" t="s">
        <v>290</v>
      </c>
      <c r="B24" s="1" t="s">
        <v>291</v>
      </c>
      <c r="C24" s="1" t="s">
        <v>292</v>
      </c>
      <c r="D24" s="1" t="s">
        <v>293</v>
      </c>
      <c r="E24" s="1" t="s">
        <v>294</v>
      </c>
    </row>
    <row r="25" spans="1:5" ht="62" customHeight="1" x14ac:dyDescent="0.35">
      <c r="A25" s="1" t="s">
        <v>295</v>
      </c>
      <c r="B25" s="1" t="s">
        <v>296</v>
      </c>
      <c r="C25" s="1" t="s">
        <v>297</v>
      </c>
      <c r="D25" s="1" t="s">
        <v>298</v>
      </c>
      <c r="E25" s="1" t="s">
        <v>299</v>
      </c>
    </row>
    <row r="26" spans="1:5" ht="62" customHeight="1" x14ac:dyDescent="0.35">
      <c r="A26" s="1" t="s">
        <v>300</v>
      </c>
      <c r="B26" s="1" t="s">
        <v>301</v>
      </c>
      <c r="C26" s="1" t="s">
        <v>302</v>
      </c>
      <c r="D26" s="1" t="s">
        <v>303</v>
      </c>
      <c r="E26" s="1" t="s">
        <v>304</v>
      </c>
    </row>
    <row r="27" spans="1:5" ht="62" customHeight="1" x14ac:dyDescent="0.35">
      <c r="A27" s="1" t="s">
        <v>305</v>
      </c>
      <c r="B27" s="1" t="s">
        <v>306</v>
      </c>
      <c r="C27" s="1" t="s">
        <v>307</v>
      </c>
      <c r="D27" s="1" t="s">
        <v>308</v>
      </c>
      <c r="E27" s="1" t="s">
        <v>309</v>
      </c>
    </row>
  </sheetData>
  <mergeCells count="4">
    <mergeCell ref="A22:E22"/>
    <mergeCell ref="A1:E1"/>
    <mergeCell ref="A2:E2"/>
    <mergeCell ref="A12:E12"/>
  </mergeCells>
  <dataValidations count="2">
    <dataValidation type="list" allowBlank="1" showInputMessage="1" showErrorMessage="1" sqref="B14:D19" xr:uid="{0DC08C22-4168-4197-9E82-665E9BC152B6}">
      <formula1>"Yes,Partial,No,Unknown"</formula1>
    </dataValidation>
    <dataValidation type="list" allowBlank="1" showInputMessage="1" showErrorMessage="1" sqref="B20:D20" xr:uid="{A78496B8-0F67-41B3-918E-E36C34D3679E}">
      <formula1>"Yes,Needs validation,No"</formula1>
    </dataValidation>
  </dataValidations>
  <pageMargins left="0.7" right="0.7" top="0.75" bottom="0.75" header="0.3" footer="0.3"/>
  <pageSetup scale="66"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2C52B-C67E-44CA-AEEA-689BDDC1CE6D}">
  <sheetPr>
    <tabColor rgb="FFC8B6FF"/>
    <pageSetUpPr fitToPage="1"/>
  </sheetPr>
  <dimension ref="A1:E22"/>
  <sheetViews>
    <sheetView showGridLines="0" workbookViewId="0">
      <selection sqref="A1:H1"/>
    </sheetView>
  </sheetViews>
  <sheetFormatPr defaultRowHeight="13" x14ac:dyDescent="0.35"/>
  <cols>
    <col min="1" max="1" width="28.6328125" style="6" customWidth="1"/>
    <col min="2" max="5" width="34.6328125" style="6" customWidth="1"/>
    <col min="6" max="6" width="15.6328125" style="6" customWidth="1"/>
    <col min="7" max="7" width="18.6328125" style="6" customWidth="1"/>
    <col min="8" max="8" width="58.6328125" style="6" customWidth="1"/>
    <col min="9" max="16384" width="8.7265625" style="6"/>
  </cols>
  <sheetData>
    <row r="1" spans="1:5" ht="36" customHeight="1" x14ac:dyDescent="0.35">
      <c r="A1" s="13" t="s">
        <v>310</v>
      </c>
      <c r="B1" s="13"/>
      <c r="C1" s="13"/>
      <c r="D1" s="13"/>
      <c r="E1" s="13"/>
    </row>
    <row r="2" spans="1:5" x14ac:dyDescent="0.35">
      <c r="A2" s="18" t="s">
        <v>433</v>
      </c>
      <c r="B2" s="17"/>
      <c r="C2" s="17"/>
      <c r="D2" s="17"/>
      <c r="E2" s="17"/>
    </row>
    <row r="4" spans="1:5" x14ac:dyDescent="0.35">
      <c r="A4" s="3" t="s">
        <v>311</v>
      </c>
      <c r="B4" s="3" t="s">
        <v>312</v>
      </c>
      <c r="C4" s="3" t="s">
        <v>313</v>
      </c>
      <c r="D4" s="3" t="s">
        <v>314</v>
      </c>
      <c r="E4" s="3" t="s">
        <v>315</v>
      </c>
    </row>
    <row r="5" spans="1:5" ht="40" customHeight="1" x14ac:dyDescent="0.35">
      <c r="A5" s="1" t="s">
        <v>192</v>
      </c>
      <c r="B5" s="1" t="str">
        <f>INDEX('W1 SDG Voting'!$A$5:$A$21,MATCH(LARGE('W1 SDG Voting'!$K$5:$K$21,1),'W1 SDG Voting'!$K$5:$K$21,0))</f>
        <v>SDG 1</v>
      </c>
      <c r="C5" s="1" t="str">
        <f>INDEX('W1 SDG Voting'!$A$5:$A$21,MATCH(LARGE('W1 SDG Voting'!$K$5:$K$21,2),'W1 SDG Voting'!$K$5:$K$21,0))</f>
        <v>SDG 2</v>
      </c>
      <c r="D5" s="1" t="str">
        <f>INDEX('W1 SDG Voting'!$A$5:$A$21,MATCH(LARGE('W1 SDG Voting'!$K$5:$K$21,3),'W1 SDG Voting'!$K$5:$K$21,0))</f>
        <v>SDG 3</v>
      </c>
      <c r="E5" s="10" t="s">
        <v>434</v>
      </c>
    </row>
    <row r="6" spans="1:5" ht="40" customHeight="1" x14ac:dyDescent="0.35">
      <c r="A6" s="1" t="s">
        <v>193</v>
      </c>
      <c r="B6" s="1" t="str">
        <f>INDEX('W1 SDG Voting'!$B$5:$B$21,MATCH(LARGE('W1 SDG Voting'!$K$5:$K$21,1),'W1 SDG Voting'!$K$5:$K$21,0))</f>
        <v>No Poverty</v>
      </c>
      <c r="C6" s="1" t="str">
        <f>INDEX('W1 SDG Voting'!$B$5:$B$21,MATCH(LARGE('W1 SDG Voting'!$K$5:$K$21,2),'W1 SDG Voting'!$K$5:$K$21,0))</f>
        <v>Zero Hunger</v>
      </c>
      <c r="D6" s="1" t="str">
        <f>INDEX('W1 SDG Voting'!$B$5:$B$21,MATCH(LARGE('W1 SDG Voting'!$K$5:$K$21,3),'W1 SDG Voting'!$K$5:$K$21,0))</f>
        <v>Good Health and Well-being</v>
      </c>
      <c r="E6" s="10"/>
    </row>
    <row r="7" spans="1:5" ht="40" customHeight="1" x14ac:dyDescent="0.35">
      <c r="A7" s="1" t="s">
        <v>197</v>
      </c>
      <c r="B7" s="1">
        <f>INDEX('W1 SDG Voting'!$G$5:$G$21,MATCH(LARGE('W1 SDG Voting'!$K$5:$K$21,1),'W1 SDG Voting'!$K$5:$K$21,0))</f>
        <v>0</v>
      </c>
      <c r="C7" s="1">
        <f>INDEX('W1 SDG Voting'!$G$5:$G$21,MATCH(LARGE('W1 SDG Voting'!$K$5:$K$21,2),'W1 SDG Voting'!$K$5:$K$21,0))</f>
        <v>0</v>
      </c>
      <c r="D7" s="1">
        <f>INDEX('W1 SDG Voting'!$G$5:$G$21,MATCH(LARGE('W1 SDG Voting'!$K$5:$K$21,3),'W1 SDG Voting'!$K$5:$K$21,0))</f>
        <v>0</v>
      </c>
      <c r="E7" s="10"/>
    </row>
    <row r="8" spans="1:5" ht="40" customHeight="1" x14ac:dyDescent="0.35">
      <c r="A8" s="1" t="s">
        <v>198</v>
      </c>
      <c r="B8" s="1">
        <f>INDEX('W1 SDG Voting'!$H$5:$H$21,MATCH(LARGE('W1 SDG Voting'!$K$5:$K$21,1),'W1 SDG Voting'!$K$5:$K$21,0))</f>
        <v>0</v>
      </c>
      <c r="C8" s="1">
        <f>INDEX('W1 SDG Voting'!$H$5:$H$21,MATCH(LARGE('W1 SDG Voting'!$K$5:$K$21,2),'W1 SDG Voting'!$K$5:$K$21,0))</f>
        <v>0</v>
      </c>
      <c r="D8" s="1">
        <f>INDEX('W1 SDG Voting'!$H$5:$H$21,MATCH(LARGE('W1 SDG Voting'!$K$5:$K$21,3),'W1 SDG Voting'!$K$5:$K$21,0))</f>
        <v>0</v>
      </c>
      <c r="E8" s="10"/>
    </row>
    <row r="9" spans="1:5" ht="46" customHeight="1" x14ac:dyDescent="0.35"/>
    <row r="10" spans="1:5" ht="46" customHeight="1" x14ac:dyDescent="0.35">
      <c r="A10" s="12" t="s">
        <v>316</v>
      </c>
      <c r="B10" s="12"/>
      <c r="C10" s="12"/>
      <c r="D10" s="12"/>
      <c r="E10" s="12"/>
    </row>
    <row r="11" spans="1:5" ht="42" customHeight="1" x14ac:dyDescent="0.35">
      <c r="A11" s="1" t="s">
        <v>317</v>
      </c>
      <c r="B11" s="19"/>
      <c r="C11" s="19"/>
      <c r="D11" s="19"/>
      <c r="E11" s="19"/>
    </row>
    <row r="12" spans="1:5" ht="42" customHeight="1" x14ac:dyDescent="0.35">
      <c r="A12" s="1" t="s">
        <v>318</v>
      </c>
      <c r="B12" s="19"/>
      <c r="C12" s="19"/>
      <c r="D12" s="19"/>
      <c r="E12" s="19"/>
    </row>
    <row r="13" spans="1:5" ht="42" customHeight="1" x14ac:dyDescent="0.35">
      <c r="A13" s="1" t="s">
        <v>319</v>
      </c>
      <c r="B13" s="19"/>
      <c r="C13" s="19"/>
      <c r="D13" s="19"/>
      <c r="E13" s="19"/>
    </row>
    <row r="14" spans="1:5" ht="42" customHeight="1" x14ac:dyDescent="0.35">
      <c r="A14" s="1" t="s">
        <v>320</v>
      </c>
      <c r="B14" s="19"/>
      <c r="C14" s="19"/>
      <c r="D14" s="19"/>
      <c r="E14" s="19"/>
    </row>
    <row r="15" spans="1:5" ht="42" customHeight="1" x14ac:dyDescent="0.35">
      <c r="A15" s="1" t="s">
        <v>321</v>
      </c>
      <c r="B15" s="19"/>
      <c r="C15" s="19"/>
      <c r="D15" s="19"/>
      <c r="E15" s="19"/>
    </row>
    <row r="16" spans="1:5" ht="42" customHeight="1" x14ac:dyDescent="0.35">
      <c r="A16" s="1" t="s">
        <v>322</v>
      </c>
      <c r="B16" s="19"/>
      <c r="C16" s="19"/>
      <c r="D16" s="19"/>
      <c r="E16" s="19"/>
    </row>
    <row r="17" spans="1:5" ht="42" customHeight="1" x14ac:dyDescent="0.35">
      <c r="A17" s="1" t="s">
        <v>323</v>
      </c>
      <c r="B17" s="19"/>
      <c r="C17" s="19"/>
      <c r="D17" s="19"/>
      <c r="E17" s="19"/>
    </row>
    <row r="19" spans="1:5" x14ac:dyDescent="0.35">
      <c r="A19" s="12" t="s">
        <v>324</v>
      </c>
      <c r="B19" s="12"/>
      <c r="C19" s="12"/>
      <c r="D19" s="12"/>
      <c r="E19" s="12"/>
    </row>
    <row r="20" spans="1:5" x14ac:dyDescent="0.35">
      <c r="A20" s="10" t="s">
        <v>435</v>
      </c>
      <c r="B20" s="10"/>
      <c r="C20" s="10"/>
      <c r="D20" s="10"/>
      <c r="E20" s="10"/>
    </row>
    <row r="21" spans="1:5" x14ac:dyDescent="0.35">
      <c r="A21" s="10" t="s">
        <v>436</v>
      </c>
      <c r="B21" s="10"/>
      <c r="C21" s="10"/>
      <c r="D21" s="10"/>
      <c r="E21" s="10"/>
    </row>
    <row r="22" spans="1:5" x14ac:dyDescent="0.35">
      <c r="A22" s="10" t="s">
        <v>437</v>
      </c>
      <c r="B22" s="10"/>
      <c r="C22" s="10"/>
      <c r="D22" s="10"/>
      <c r="E22" s="10"/>
    </row>
  </sheetData>
  <mergeCells count="15">
    <mergeCell ref="B12:E12"/>
    <mergeCell ref="B13:E13"/>
    <mergeCell ref="B14:E14"/>
    <mergeCell ref="B15:E15"/>
    <mergeCell ref="A1:E1"/>
    <mergeCell ref="A2:E2"/>
    <mergeCell ref="E5:E8"/>
    <mergeCell ref="A10:E10"/>
    <mergeCell ref="B11:E11"/>
    <mergeCell ref="A22:E22"/>
    <mergeCell ref="B16:E16"/>
    <mergeCell ref="B17:E17"/>
    <mergeCell ref="A19:E19"/>
    <mergeCell ref="A20:E20"/>
    <mergeCell ref="A21:E21"/>
  </mergeCells>
  <pageMargins left="0.7" right="0.7" top="0.75" bottom="0.75" header="0.3" footer="0.3"/>
  <pageSetup scale="73"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398FF-09C8-45B8-A28E-9141F6627E5C}">
  <sheetPr>
    <tabColor rgb="FFC8B6FF"/>
    <pageSetUpPr fitToPage="1"/>
  </sheetPr>
  <dimension ref="A1:E17"/>
  <sheetViews>
    <sheetView showGridLines="0" topLeftCell="A11" workbookViewId="0">
      <selection activeCell="A16" sqref="A16:E16"/>
    </sheetView>
  </sheetViews>
  <sheetFormatPr defaultRowHeight="13" x14ac:dyDescent="0.35"/>
  <cols>
    <col min="1" max="1" width="34.6328125" style="6" customWidth="1"/>
    <col min="2" max="5" width="32.6328125" style="6" customWidth="1"/>
    <col min="6" max="16384" width="8.7265625" style="6"/>
  </cols>
  <sheetData>
    <row r="1" spans="1:5" ht="36" customHeight="1" x14ac:dyDescent="0.35">
      <c r="A1" s="13" t="s">
        <v>325</v>
      </c>
      <c r="B1" s="13"/>
      <c r="C1" s="13"/>
      <c r="D1" s="13"/>
      <c r="E1" s="13"/>
    </row>
    <row r="3" spans="1:5" ht="42" customHeight="1" x14ac:dyDescent="0.35">
      <c r="A3" s="4" t="s">
        <v>317</v>
      </c>
      <c r="B3" s="19"/>
      <c r="C3" s="19"/>
      <c r="D3" s="19"/>
      <c r="E3" s="19"/>
    </row>
    <row r="4" spans="1:5" ht="42" customHeight="1" x14ac:dyDescent="0.35">
      <c r="A4" s="4" t="s">
        <v>326</v>
      </c>
      <c r="B4" s="19"/>
      <c r="C4" s="19"/>
      <c r="D4" s="19"/>
      <c r="E4" s="19"/>
    </row>
    <row r="5" spans="1:5" ht="42" customHeight="1" x14ac:dyDescent="0.35">
      <c r="A5" s="4" t="s">
        <v>327</v>
      </c>
      <c r="B5" s="19" t="s">
        <v>438</v>
      </c>
      <c r="C5" s="19"/>
      <c r="D5" s="19"/>
      <c r="E5" s="19"/>
    </row>
    <row r="6" spans="1:5" ht="42" customHeight="1" x14ac:dyDescent="0.35">
      <c r="A6" s="4" t="s">
        <v>328</v>
      </c>
      <c r="B6" s="19" t="s">
        <v>329</v>
      </c>
      <c r="C6" s="19"/>
      <c r="D6" s="19"/>
      <c r="E6" s="19"/>
    </row>
    <row r="7" spans="1:5" ht="42" customHeight="1" x14ac:dyDescent="0.35">
      <c r="A7" s="4" t="s">
        <v>330</v>
      </c>
      <c r="B7" s="19" t="s">
        <v>331</v>
      </c>
      <c r="C7" s="19"/>
      <c r="D7" s="19"/>
      <c r="E7" s="19"/>
    </row>
    <row r="8" spans="1:5" ht="42" customHeight="1" x14ac:dyDescent="0.35">
      <c r="A8" s="4" t="s">
        <v>332</v>
      </c>
      <c r="B8" s="19" t="s">
        <v>333</v>
      </c>
      <c r="C8" s="19"/>
      <c r="D8" s="19"/>
      <c r="E8" s="19"/>
    </row>
    <row r="9" spans="1:5" ht="42" customHeight="1" x14ac:dyDescent="0.35">
      <c r="A9" s="4" t="s">
        <v>334</v>
      </c>
      <c r="B9" s="19"/>
      <c r="C9" s="19"/>
      <c r="D9" s="19"/>
      <c r="E9" s="19"/>
    </row>
    <row r="10" spans="1:5" ht="42" customHeight="1" x14ac:dyDescent="0.35">
      <c r="A10" s="4" t="s">
        <v>6</v>
      </c>
      <c r="B10" s="19"/>
      <c r="C10" s="19"/>
      <c r="D10" s="19"/>
      <c r="E10" s="19"/>
    </row>
    <row r="11" spans="1:5" ht="42" customHeight="1" x14ac:dyDescent="0.35">
      <c r="A11" s="4" t="s">
        <v>7</v>
      </c>
      <c r="B11" s="19" t="s">
        <v>335</v>
      </c>
      <c r="C11" s="19"/>
      <c r="D11" s="19"/>
      <c r="E11" s="19"/>
    </row>
    <row r="12" spans="1:5" ht="42" customHeight="1" x14ac:dyDescent="0.35"/>
    <row r="13" spans="1:5" x14ac:dyDescent="0.35">
      <c r="A13" s="15" t="s">
        <v>8</v>
      </c>
      <c r="B13" s="15"/>
      <c r="C13" s="15"/>
      <c r="D13" s="15"/>
      <c r="E13" s="15"/>
    </row>
    <row r="14" spans="1:5" x14ac:dyDescent="0.35">
      <c r="A14" s="3" t="s">
        <v>9</v>
      </c>
      <c r="B14" s="3" t="s">
        <v>336</v>
      </c>
      <c r="C14" s="3" t="s">
        <v>337</v>
      </c>
      <c r="D14" s="3" t="s">
        <v>10</v>
      </c>
      <c r="E14" s="3" t="s">
        <v>338</v>
      </c>
    </row>
    <row r="15" spans="1:5" x14ac:dyDescent="0.35">
      <c r="A15" s="1" t="s">
        <v>3</v>
      </c>
      <c r="B15" s="5"/>
      <c r="C15" s="5"/>
      <c r="D15" s="5"/>
      <c r="E15" s="5"/>
    </row>
    <row r="16" spans="1:5" x14ac:dyDescent="0.35">
      <c r="A16" s="1" t="s">
        <v>4</v>
      </c>
      <c r="B16" s="5"/>
      <c r="C16" s="5"/>
      <c r="D16" s="5"/>
      <c r="E16" s="5"/>
    </row>
    <row r="17" spans="1:5" x14ac:dyDescent="0.35">
      <c r="A17" s="1" t="s">
        <v>5</v>
      </c>
      <c r="B17" s="5"/>
      <c r="C17" s="5"/>
      <c r="D17" s="5"/>
      <c r="E17" s="5"/>
    </row>
  </sheetData>
  <mergeCells count="11">
    <mergeCell ref="B7:E7"/>
    <mergeCell ref="B8:E8"/>
    <mergeCell ref="B9:E9"/>
    <mergeCell ref="B10:E10"/>
    <mergeCell ref="A13:E13"/>
    <mergeCell ref="B11:E11"/>
    <mergeCell ref="A1:E1"/>
    <mergeCell ref="B3:E3"/>
    <mergeCell ref="B4:E4"/>
    <mergeCell ref="B5:E5"/>
    <mergeCell ref="B6:E6"/>
  </mergeCells>
  <dataValidations count="1">
    <dataValidation type="list" allowBlank="1" showInputMessage="1" showErrorMessage="1" sqref="C15:D17" xr:uid="{B3ECB1AE-BAFE-4204-893B-1E78FA235AC9}">
      <formula1>"Yes,No"</formula1>
    </dataValidation>
  </dataValidations>
  <pageMargins left="0.7" right="0.7" top="0.75" bottom="0.75" header="0.3" footer="0.3"/>
  <pageSetup scale="74" fitToHeight="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4AF176-6D00-49C4-944C-8C794F157488}">
  <sheetPr>
    <tabColor rgb="FFC8B6FF"/>
    <pageSetUpPr fitToPage="1"/>
  </sheetPr>
  <dimension ref="A1:C20"/>
  <sheetViews>
    <sheetView showGridLines="0" workbookViewId="0"/>
  </sheetViews>
  <sheetFormatPr defaultRowHeight="13" x14ac:dyDescent="0.35"/>
  <cols>
    <col min="1" max="1" width="30.6328125" style="6" customWidth="1"/>
    <col min="2" max="3" width="56.6328125" style="6" customWidth="1"/>
    <col min="4" max="16384" width="8.7265625" style="6"/>
  </cols>
  <sheetData>
    <row r="1" spans="1:3" ht="36" customHeight="1" x14ac:dyDescent="0.35">
      <c r="A1" s="13" t="s">
        <v>339</v>
      </c>
      <c r="B1" s="13"/>
      <c r="C1" s="13"/>
    </row>
    <row r="2" spans="1:3" x14ac:dyDescent="0.35">
      <c r="A2" s="18" t="s">
        <v>439</v>
      </c>
      <c r="B2" s="17"/>
      <c r="C2" s="17"/>
    </row>
    <row r="4" spans="1:3" x14ac:dyDescent="0.35">
      <c r="A4" s="3" t="s">
        <v>11</v>
      </c>
      <c r="B4" s="3" t="s">
        <v>12</v>
      </c>
      <c r="C4" s="3" t="s">
        <v>340</v>
      </c>
    </row>
    <row r="5" spans="1:3" ht="58" customHeight="1" x14ac:dyDescent="0.35">
      <c r="A5" s="1" t="s">
        <v>317</v>
      </c>
      <c r="B5" s="5"/>
      <c r="C5" s="1" t="s">
        <v>341</v>
      </c>
    </row>
    <row r="6" spans="1:3" ht="58" customHeight="1" x14ac:dyDescent="0.35">
      <c r="A6" s="1" t="s">
        <v>342</v>
      </c>
      <c r="B6" s="5"/>
      <c r="C6" s="1" t="s">
        <v>343</v>
      </c>
    </row>
    <row r="7" spans="1:3" ht="58" customHeight="1" x14ac:dyDescent="0.35">
      <c r="A7" s="1" t="s">
        <v>344</v>
      </c>
      <c r="B7" s="5"/>
      <c r="C7" s="1" t="s">
        <v>345</v>
      </c>
    </row>
    <row r="8" spans="1:3" ht="58" customHeight="1" x14ac:dyDescent="0.35">
      <c r="A8" s="1" t="s">
        <v>346</v>
      </c>
      <c r="B8" s="5"/>
      <c r="C8" s="1" t="s">
        <v>347</v>
      </c>
    </row>
    <row r="9" spans="1:3" ht="58" customHeight="1" x14ac:dyDescent="0.35">
      <c r="A9" s="1" t="s">
        <v>13</v>
      </c>
      <c r="B9" s="5"/>
      <c r="C9" s="1" t="s">
        <v>348</v>
      </c>
    </row>
    <row r="10" spans="1:3" ht="58" customHeight="1" x14ac:dyDescent="0.35">
      <c r="A10" s="1" t="s">
        <v>349</v>
      </c>
      <c r="B10" s="5"/>
      <c r="C10" s="1" t="s">
        <v>350</v>
      </c>
    </row>
    <row r="11" spans="1:3" ht="58" customHeight="1" x14ac:dyDescent="0.35">
      <c r="A11" s="1" t="s">
        <v>14</v>
      </c>
      <c r="B11" s="5"/>
      <c r="C11" s="1" t="s">
        <v>351</v>
      </c>
    </row>
    <row r="12" spans="1:3" ht="58" customHeight="1" x14ac:dyDescent="0.35">
      <c r="A12" s="1" t="s">
        <v>15</v>
      </c>
      <c r="B12" s="5"/>
      <c r="C12" s="1" t="s">
        <v>352</v>
      </c>
    </row>
    <row r="13" spans="1:3" ht="58" customHeight="1" x14ac:dyDescent="0.35">
      <c r="A13" s="1" t="s">
        <v>16</v>
      </c>
      <c r="B13" s="5"/>
      <c r="C13" s="1" t="s">
        <v>353</v>
      </c>
    </row>
    <row r="14" spans="1:3" ht="58" customHeight="1" x14ac:dyDescent="0.35">
      <c r="A14" s="1" t="s">
        <v>17</v>
      </c>
      <c r="B14" s="5"/>
      <c r="C14" s="1" t="s">
        <v>354</v>
      </c>
    </row>
    <row r="15" spans="1:3" ht="58" customHeight="1" x14ac:dyDescent="0.35">
      <c r="A15" s="1" t="s">
        <v>18</v>
      </c>
      <c r="B15" s="5"/>
      <c r="C15" s="1" t="s">
        <v>355</v>
      </c>
    </row>
    <row r="16" spans="1:3" ht="58" customHeight="1" x14ac:dyDescent="0.35">
      <c r="A16" s="1" t="s">
        <v>19</v>
      </c>
      <c r="B16" s="5"/>
      <c r="C16" s="1" t="s">
        <v>356</v>
      </c>
    </row>
    <row r="17" spans="1:3" ht="58" customHeight="1" x14ac:dyDescent="0.35">
      <c r="A17" s="1" t="s">
        <v>20</v>
      </c>
      <c r="B17" s="5"/>
      <c r="C17" s="1" t="s">
        <v>357</v>
      </c>
    </row>
    <row r="18" spans="1:3" ht="58" customHeight="1" x14ac:dyDescent="0.35">
      <c r="A18" s="1" t="s">
        <v>21</v>
      </c>
      <c r="B18" s="5"/>
      <c r="C18" s="1" t="s">
        <v>358</v>
      </c>
    </row>
    <row r="19" spans="1:3" ht="58" customHeight="1" x14ac:dyDescent="0.35">
      <c r="A19" s="1" t="s">
        <v>22</v>
      </c>
      <c r="B19" s="5"/>
      <c r="C19" s="1" t="s">
        <v>359</v>
      </c>
    </row>
    <row r="20" spans="1:3" ht="58" customHeight="1" x14ac:dyDescent="0.35">
      <c r="A20" s="1" t="s">
        <v>23</v>
      </c>
      <c r="B20" s="5"/>
      <c r="C20" s="1" t="s">
        <v>360</v>
      </c>
    </row>
  </sheetData>
  <mergeCells count="2">
    <mergeCell ref="A1:C1"/>
    <mergeCell ref="A2:C2"/>
  </mergeCells>
  <pageMargins left="0.7" right="0.7" top="0.75" bottom="0.75" header="0.3" footer="0.3"/>
  <pageSetup scale="84" fitToHeight="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FE180-9814-43B4-B942-D7124DE1C7A2}">
  <sheetPr>
    <tabColor rgb="FFC8B6FF"/>
    <pageSetUpPr fitToPage="1"/>
  </sheetPr>
  <dimension ref="A1:D25"/>
  <sheetViews>
    <sheetView showGridLines="0" workbookViewId="0"/>
  </sheetViews>
  <sheetFormatPr defaultRowHeight="13" x14ac:dyDescent="0.35"/>
  <cols>
    <col min="1" max="1" width="25.6328125" style="6" customWidth="1"/>
    <col min="2" max="2" width="56.6328125" style="6" customWidth="1"/>
    <col min="3" max="4" width="44.6328125" style="6" customWidth="1"/>
    <col min="5" max="16384" width="8.7265625" style="6"/>
  </cols>
  <sheetData>
    <row r="1" spans="1:4" ht="36" customHeight="1" x14ac:dyDescent="0.35">
      <c r="A1" s="13" t="s">
        <v>361</v>
      </c>
      <c r="B1" s="13"/>
      <c r="C1" s="13"/>
      <c r="D1" s="13"/>
    </row>
    <row r="3" spans="1:4" x14ac:dyDescent="0.35">
      <c r="A3" s="14" t="s">
        <v>362</v>
      </c>
      <c r="B3" s="14"/>
      <c r="C3" s="14"/>
      <c r="D3" s="14"/>
    </row>
    <row r="4" spans="1:4" x14ac:dyDescent="0.35">
      <c r="A4" s="3" t="s">
        <v>24</v>
      </c>
      <c r="B4" s="3" t="s">
        <v>12</v>
      </c>
      <c r="C4" s="3" t="s">
        <v>25</v>
      </c>
      <c r="D4" s="3" t="s">
        <v>26</v>
      </c>
    </row>
    <row r="5" spans="1:4" ht="58" customHeight="1" x14ac:dyDescent="0.35">
      <c r="A5" s="1" t="s">
        <v>363</v>
      </c>
      <c r="B5" s="5"/>
      <c r="C5" s="1" t="s">
        <v>440</v>
      </c>
      <c r="D5" s="1" t="s">
        <v>441</v>
      </c>
    </row>
    <row r="6" spans="1:4" ht="58" customHeight="1" x14ac:dyDescent="0.35">
      <c r="A6" s="1" t="s">
        <v>27</v>
      </c>
      <c r="B6" s="5"/>
      <c r="C6" s="1" t="s">
        <v>364</v>
      </c>
      <c r="D6" s="1" t="s">
        <v>365</v>
      </c>
    </row>
    <row r="7" spans="1:4" ht="58" customHeight="1" x14ac:dyDescent="0.35">
      <c r="A7" s="1" t="s">
        <v>28</v>
      </c>
      <c r="B7" s="5"/>
      <c r="C7" s="1" t="s">
        <v>366</v>
      </c>
      <c r="D7" s="1" t="s">
        <v>367</v>
      </c>
    </row>
    <row r="8" spans="1:4" ht="58" customHeight="1" x14ac:dyDescent="0.35">
      <c r="A8" s="1" t="s">
        <v>29</v>
      </c>
      <c r="B8" s="5"/>
      <c r="C8" s="1" t="s">
        <v>368</v>
      </c>
      <c r="D8" s="1" t="s">
        <v>369</v>
      </c>
    </row>
    <row r="9" spans="1:4" ht="58" customHeight="1" x14ac:dyDescent="0.35">
      <c r="A9" s="1" t="s">
        <v>30</v>
      </c>
      <c r="B9" s="5"/>
      <c r="C9" s="1" t="s">
        <v>31</v>
      </c>
      <c r="D9" s="1" t="s">
        <v>370</v>
      </c>
    </row>
    <row r="10" spans="1:4" ht="58" customHeight="1" x14ac:dyDescent="0.35">
      <c r="A10" s="1" t="s">
        <v>32</v>
      </c>
      <c r="B10" s="5"/>
      <c r="C10" s="1" t="s">
        <v>33</v>
      </c>
      <c r="D10" s="1" t="s">
        <v>371</v>
      </c>
    </row>
    <row r="11" spans="1:4" ht="58" customHeight="1" x14ac:dyDescent="0.35">
      <c r="A11" s="1" t="s">
        <v>372</v>
      </c>
      <c r="B11" s="5"/>
      <c r="C11" s="1" t="s">
        <v>373</v>
      </c>
      <c r="D11" s="1" t="s">
        <v>374</v>
      </c>
    </row>
    <row r="13" spans="1:4" x14ac:dyDescent="0.35">
      <c r="A13" s="15" t="s">
        <v>375</v>
      </c>
      <c r="B13" s="15"/>
      <c r="C13" s="15"/>
      <c r="D13" s="15"/>
    </row>
    <row r="14" spans="1:4" ht="56" customHeight="1" x14ac:dyDescent="0.35">
      <c r="A14" s="3" t="s">
        <v>34</v>
      </c>
      <c r="B14" s="3" t="s">
        <v>35</v>
      </c>
      <c r="C14" s="3" t="s">
        <v>36</v>
      </c>
      <c r="D14" s="3" t="s">
        <v>37</v>
      </c>
    </row>
    <row r="15" spans="1:4" ht="54" customHeight="1" x14ac:dyDescent="0.35">
      <c r="A15" s="5"/>
      <c r="B15" s="5"/>
      <c r="C15" s="5"/>
      <c r="D15" s="5"/>
    </row>
    <row r="16" spans="1:4" ht="54" customHeight="1" x14ac:dyDescent="0.35">
      <c r="A16" s="5"/>
      <c r="B16" s="5"/>
      <c r="C16" s="5"/>
      <c r="D16" s="5"/>
    </row>
    <row r="17" spans="1:4" ht="54" customHeight="1" x14ac:dyDescent="0.35">
      <c r="A17" s="5"/>
      <c r="B17" s="5"/>
      <c r="C17" s="5"/>
      <c r="D17" s="5"/>
    </row>
    <row r="18" spans="1:4" ht="54" customHeight="1" x14ac:dyDescent="0.35">
      <c r="A18" s="5"/>
      <c r="B18" s="5"/>
      <c r="C18" s="5"/>
      <c r="D18" s="5"/>
    </row>
    <row r="19" spans="1:4" ht="54" customHeight="1" x14ac:dyDescent="0.35">
      <c r="A19" s="5"/>
      <c r="B19" s="5"/>
      <c r="C19" s="5"/>
      <c r="D19" s="5"/>
    </row>
    <row r="21" spans="1:4" x14ac:dyDescent="0.35">
      <c r="A21" s="20" t="s">
        <v>376</v>
      </c>
      <c r="B21" s="20"/>
      <c r="C21" s="20"/>
      <c r="D21" s="20"/>
    </row>
    <row r="22" spans="1:4" ht="58" customHeight="1" x14ac:dyDescent="0.35">
      <c r="A22" s="3" t="s">
        <v>38</v>
      </c>
      <c r="B22" s="3" t="s">
        <v>39</v>
      </c>
      <c r="C22" s="3" t="s">
        <v>40</v>
      </c>
      <c r="D22" s="3" t="s">
        <v>41</v>
      </c>
    </row>
    <row r="23" spans="1:4" ht="58" customHeight="1" x14ac:dyDescent="0.35">
      <c r="A23" s="5"/>
      <c r="B23" s="5"/>
      <c r="C23" s="5"/>
      <c r="D23" s="5"/>
    </row>
    <row r="24" spans="1:4" ht="58" customHeight="1" x14ac:dyDescent="0.35">
      <c r="A24" s="5"/>
      <c r="B24" s="5"/>
      <c r="C24" s="5"/>
      <c r="D24" s="5"/>
    </row>
    <row r="25" spans="1:4" ht="58" customHeight="1" x14ac:dyDescent="0.35">
      <c r="A25" s="5"/>
      <c r="B25" s="5"/>
      <c r="C25" s="5"/>
      <c r="D25" s="5"/>
    </row>
  </sheetData>
  <mergeCells count="4">
    <mergeCell ref="A21:D21"/>
    <mergeCell ref="A1:D1"/>
    <mergeCell ref="A3:D3"/>
    <mergeCell ref="A13:D13"/>
  </mergeCells>
  <pageMargins left="0.7" right="0.7" top="0.75" bottom="0.75" header="0.3" footer="0.3"/>
  <pageSetup scale="71" fitToHeight="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24F56-AC3D-4266-8043-0B9CC0BFD9E5}">
  <sheetPr>
    <tabColor rgb="FFC8B6FF"/>
    <pageSetUpPr fitToPage="1"/>
  </sheetPr>
  <dimension ref="A1:F28"/>
  <sheetViews>
    <sheetView showGridLines="0" workbookViewId="0"/>
  </sheetViews>
  <sheetFormatPr defaultRowHeight="13" x14ac:dyDescent="0.35"/>
  <cols>
    <col min="1" max="1" width="24.6328125" style="6" customWidth="1"/>
    <col min="2" max="5" width="28.6328125" style="6" customWidth="1"/>
    <col min="6" max="6" width="38.6328125" style="6" customWidth="1"/>
    <col min="7" max="16384" width="8.7265625" style="6"/>
  </cols>
  <sheetData>
    <row r="1" spans="1:6" ht="36" customHeight="1" x14ac:dyDescent="0.35">
      <c r="A1" s="13" t="s">
        <v>42</v>
      </c>
      <c r="B1" s="13"/>
      <c r="C1" s="13"/>
      <c r="D1" s="13"/>
      <c r="E1" s="13"/>
      <c r="F1" s="13"/>
    </row>
    <row r="3" spans="1:6" ht="14.5" x14ac:dyDescent="0.35">
      <c r="A3" s="21" t="s">
        <v>43</v>
      </c>
      <c r="B3" s="21"/>
      <c r="C3" s="21"/>
      <c r="D3" s="21"/>
      <c r="E3" s="21"/>
      <c r="F3" s="21"/>
    </row>
    <row r="4" spans="1:6" x14ac:dyDescent="0.35">
      <c r="A4" s="3" t="s">
        <v>44</v>
      </c>
      <c r="B4" s="3" t="s">
        <v>45</v>
      </c>
      <c r="C4" s="3" t="s">
        <v>46</v>
      </c>
      <c r="D4" s="3" t="s">
        <v>47</v>
      </c>
      <c r="E4" s="3" t="s">
        <v>48</v>
      </c>
      <c r="F4" s="3" t="s">
        <v>49</v>
      </c>
    </row>
    <row r="5" spans="1:6" ht="50" customHeight="1" x14ac:dyDescent="0.35">
      <c r="A5" s="1" t="s">
        <v>50</v>
      </c>
      <c r="B5" s="1" t="s">
        <v>51</v>
      </c>
      <c r="C5" s="1" t="s">
        <v>52</v>
      </c>
      <c r="D5" s="5"/>
      <c r="E5" s="5"/>
      <c r="F5" s="5"/>
    </row>
    <row r="6" spans="1:6" ht="50" customHeight="1" x14ac:dyDescent="0.35">
      <c r="A6" s="1" t="s">
        <v>53</v>
      </c>
      <c r="B6" s="1" t="s">
        <v>54</v>
      </c>
      <c r="C6" s="1" t="s">
        <v>55</v>
      </c>
      <c r="D6" s="5"/>
      <c r="E6" s="5"/>
      <c r="F6" s="5"/>
    </row>
    <row r="7" spans="1:6" ht="50" customHeight="1" x14ac:dyDescent="0.35">
      <c r="A7" s="1" t="s">
        <v>56</v>
      </c>
      <c r="B7" s="1" t="s">
        <v>57</v>
      </c>
      <c r="C7" s="1" t="s">
        <v>58</v>
      </c>
      <c r="D7" s="5"/>
      <c r="E7" s="5"/>
      <c r="F7" s="5"/>
    </row>
    <row r="8" spans="1:6" ht="50" customHeight="1" x14ac:dyDescent="0.35">
      <c r="A8" s="1" t="s">
        <v>59</v>
      </c>
      <c r="B8" s="1" t="s">
        <v>60</v>
      </c>
      <c r="C8" s="1" t="s">
        <v>61</v>
      </c>
      <c r="D8" s="5"/>
      <c r="E8" s="5"/>
      <c r="F8" s="5"/>
    </row>
    <row r="9" spans="1:6" ht="50" customHeight="1" x14ac:dyDescent="0.35">
      <c r="A9" s="1" t="s">
        <v>62</v>
      </c>
      <c r="B9" s="1" t="s">
        <v>63</v>
      </c>
      <c r="C9" s="1" t="s">
        <v>64</v>
      </c>
      <c r="D9" s="5"/>
      <c r="E9" s="5"/>
      <c r="F9" s="5"/>
    </row>
    <row r="11" spans="1:6" ht="14.5" x14ac:dyDescent="0.35">
      <c r="A11" s="22" t="s">
        <v>65</v>
      </c>
      <c r="B11" s="22"/>
      <c r="C11" s="22"/>
      <c r="D11" s="22"/>
      <c r="E11" s="22"/>
      <c r="F11" s="22"/>
    </row>
    <row r="12" spans="1:6" x14ac:dyDescent="0.35">
      <c r="A12" s="3" t="s">
        <v>66</v>
      </c>
      <c r="B12" s="3" t="s">
        <v>67</v>
      </c>
      <c r="C12" s="3" t="s">
        <v>68</v>
      </c>
      <c r="D12" s="3" t="s">
        <v>48</v>
      </c>
      <c r="E12" s="3" t="s">
        <v>2</v>
      </c>
      <c r="F12" s="3" t="s">
        <v>69</v>
      </c>
    </row>
    <row r="13" spans="1:6" ht="44" customHeight="1" x14ac:dyDescent="0.35">
      <c r="A13" s="1" t="s">
        <v>70</v>
      </c>
      <c r="B13" s="1" t="s">
        <v>71</v>
      </c>
      <c r="C13" s="1" t="s">
        <v>72</v>
      </c>
      <c r="D13" s="5"/>
      <c r="E13" s="5" t="s">
        <v>73</v>
      </c>
      <c r="F13" s="5"/>
    </row>
    <row r="14" spans="1:6" ht="44" customHeight="1" x14ac:dyDescent="0.35">
      <c r="A14" s="1" t="s">
        <v>74</v>
      </c>
      <c r="B14" s="1" t="s">
        <v>75</v>
      </c>
      <c r="C14" s="1" t="s">
        <v>76</v>
      </c>
      <c r="D14" s="5"/>
      <c r="E14" s="5" t="s">
        <v>73</v>
      </c>
      <c r="F14" s="5"/>
    </row>
    <row r="15" spans="1:6" ht="44" customHeight="1" x14ac:dyDescent="0.35">
      <c r="A15" s="1" t="s">
        <v>77</v>
      </c>
      <c r="B15" s="1" t="s">
        <v>78</v>
      </c>
      <c r="C15" s="1" t="s">
        <v>79</v>
      </c>
      <c r="D15" s="5"/>
      <c r="E15" s="5" t="s">
        <v>73</v>
      </c>
      <c r="F15" s="5"/>
    </row>
    <row r="16" spans="1:6" ht="44" customHeight="1" x14ac:dyDescent="0.35">
      <c r="A16" s="1" t="s">
        <v>80</v>
      </c>
      <c r="B16" s="1" t="s">
        <v>81</v>
      </c>
      <c r="C16" s="1" t="s">
        <v>82</v>
      </c>
      <c r="D16" s="5"/>
      <c r="E16" s="5" t="s">
        <v>73</v>
      </c>
      <c r="F16" s="5"/>
    </row>
    <row r="17" spans="1:6" ht="44" customHeight="1" x14ac:dyDescent="0.35">
      <c r="A17" s="1" t="s">
        <v>83</v>
      </c>
      <c r="B17" s="1" t="s">
        <v>84</v>
      </c>
      <c r="C17" s="1" t="s">
        <v>85</v>
      </c>
      <c r="D17" s="5"/>
      <c r="E17" s="5" t="s">
        <v>73</v>
      </c>
      <c r="F17" s="5"/>
    </row>
    <row r="18" spans="1:6" ht="44" customHeight="1" x14ac:dyDescent="0.35">
      <c r="A18" s="1" t="s">
        <v>86</v>
      </c>
      <c r="B18" s="1" t="s">
        <v>87</v>
      </c>
      <c r="C18" s="1" t="s">
        <v>88</v>
      </c>
      <c r="D18" s="5"/>
      <c r="E18" s="5" t="s">
        <v>73</v>
      </c>
      <c r="F18" s="5"/>
    </row>
    <row r="20" spans="1:6" ht="14.5" x14ac:dyDescent="0.35">
      <c r="A20" s="23" t="s">
        <v>89</v>
      </c>
      <c r="B20" s="23"/>
      <c r="C20" s="23"/>
      <c r="D20" s="23"/>
      <c r="E20" s="23"/>
      <c r="F20" s="23"/>
    </row>
    <row r="21" spans="1:6" x14ac:dyDescent="0.35">
      <c r="A21" s="3" t="s">
        <v>90</v>
      </c>
      <c r="B21" s="3" t="s">
        <v>91</v>
      </c>
      <c r="C21" s="3" t="s">
        <v>92</v>
      </c>
      <c r="D21" s="3" t="s">
        <v>93</v>
      </c>
      <c r="E21" s="3" t="s">
        <v>94</v>
      </c>
      <c r="F21" s="3" t="s">
        <v>95</v>
      </c>
    </row>
    <row r="22" spans="1:6" ht="26" x14ac:dyDescent="0.35">
      <c r="A22" s="1" t="s">
        <v>96</v>
      </c>
      <c r="B22" s="1" t="s">
        <v>97</v>
      </c>
      <c r="C22" s="5"/>
      <c r="D22" s="5"/>
      <c r="E22" s="1">
        <f t="shared" ref="E22:E27" si="0">C22*D22</f>
        <v>0</v>
      </c>
      <c r="F22" s="1" t="s">
        <v>98</v>
      </c>
    </row>
    <row r="23" spans="1:6" x14ac:dyDescent="0.35">
      <c r="A23" s="1" t="s">
        <v>99</v>
      </c>
      <c r="B23" s="1" t="s">
        <v>100</v>
      </c>
      <c r="C23" s="5"/>
      <c r="D23" s="5"/>
      <c r="E23" s="1">
        <f t="shared" si="0"/>
        <v>0</v>
      </c>
      <c r="F23" s="1" t="s">
        <v>101</v>
      </c>
    </row>
    <row r="24" spans="1:6" x14ac:dyDescent="0.35">
      <c r="A24" s="1" t="s">
        <v>102</v>
      </c>
      <c r="B24" s="1" t="s">
        <v>103</v>
      </c>
      <c r="C24" s="5"/>
      <c r="D24" s="5"/>
      <c r="E24" s="1">
        <f t="shared" si="0"/>
        <v>0</v>
      </c>
      <c r="F24" s="1" t="s">
        <v>104</v>
      </c>
    </row>
    <row r="25" spans="1:6" ht="26" x14ac:dyDescent="0.35">
      <c r="A25" s="1" t="s">
        <v>105</v>
      </c>
      <c r="B25" s="1" t="s">
        <v>106</v>
      </c>
      <c r="C25" s="5"/>
      <c r="D25" s="5"/>
      <c r="E25" s="1">
        <f t="shared" si="0"/>
        <v>0</v>
      </c>
      <c r="F25" s="1" t="s">
        <v>107</v>
      </c>
    </row>
    <row r="26" spans="1:6" x14ac:dyDescent="0.35">
      <c r="A26" s="1" t="s">
        <v>108</v>
      </c>
      <c r="B26" s="1" t="s">
        <v>109</v>
      </c>
      <c r="C26" s="5"/>
      <c r="D26" s="5"/>
      <c r="E26" s="1">
        <f t="shared" si="0"/>
        <v>0</v>
      </c>
      <c r="F26" s="1" t="s">
        <v>110</v>
      </c>
    </row>
    <row r="27" spans="1:6" x14ac:dyDescent="0.35">
      <c r="A27" s="1" t="s">
        <v>111</v>
      </c>
      <c r="B27" s="1" t="s">
        <v>112</v>
      </c>
      <c r="C27" s="5"/>
      <c r="D27" s="5"/>
      <c r="E27" s="1">
        <f t="shared" si="0"/>
        <v>0</v>
      </c>
      <c r="F27" s="1" t="s">
        <v>113</v>
      </c>
    </row>
    <row r="28" spans="1:6" x14ac:dyDescent="0.35">
      <c r="A28" s="2"/>
      <c r="B28" s="2"/>
      <c r="C28" s="2"/>
      <c r="D28" s="2" t="s">
        <v>114</v>
      </c>
      <c r="E28" s="2">
        <f>SUM(E22:E27)</f>
        <v>0</v>
      </c>
      <c r="F28" s="2"/>
    </row>
  </sheetData>
  <mergeCells count="4">
    <mergeCell ref="A1:F1"/>
    <mergeCell ref="A3:F3"/>
    <mergeCell ref="A11:F11"/>
    <mergeCell ref="A20:F20"/>
  </mergeCells>
  <dataValidations count="1">
    <dataValidation type="list" allowBlank="1" showInputMessage="1" showErrorMessage="1" sqref="E13:E18" xr:uid="{16313421-4914-4730-9173-23F3FF4D45B1}">
      <formula1>"Not started,In progress,Done,Blocked"</formula1>
    </dataValidation>
  </dataValidations>
  <pageMargins left="0.7" right="0.7" top="0.75" bottom="0.75" header="0.3" footer="0.3"/>
  <pageSetup scale="69" fitToHeight="0"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E4F1B-89B0-44DD-A6D7-4576A9367DF0}">
  <sheetPr>
    <tabColor rgb="FFC8B6FF"/>
    <pageSetUpPr fitToPage="1"/>
  </sheetPr>
  <dimension ref="A1:F23"/>
  <sheetViews>
    <sheetView showGridLines="0" workbookViewId="0"/>
  </sheetViews>
  <sheetFormatPr defaultRowHeight="13" x14ac:dyDescent="0.35"/>
  <cols>
    <col min="1" max="1" width="18.6328125" style="6" customWidth="1"/>
    <col min="2" max="2" width="36.6328125" style="6" customWidth="1"/>
    <col min="3" max="3" width="34.6328125" style="6" customWidth="1"/>
    <col min="4" max="5" width="18.6328125" style="6" customWidth="1"/>
    <col min="6" max="6" width="44.6328125" style="6" customWidth="1"/>
    <col min="7" max="16384" width="8.7265625" style="6"/>
  </cols>
  <sheetData>
    <row r="1" spans="1:6" ht="36" customHeight="1" x14ac:dyDescent="0.35">
      <c r="A1" s="13" t="s">
        <v>115</v>
      </c>
      <c r="B1" s="13"/>
      <c r="C1" s="13"/>
      <c r="D1" s="13"/>
      <c r="E1" s="13"/>
      <c r="F1" s="13"/>
    </row>
    <row r="3" spans="1:6" x14ac:dyDescent="0.35">
      <c r="A3" s="14" t="s">
        <v>116</v>
      </c>
      <c r="B3" s="14"/>
      <c r="C3" s="14"/>
      <c r="D3" s="14"/>
      <c r="E3" s="14"/>
      <c r="F3" s="14"/>
    </row>
    <row r="4" spans="1:6" x14ac:dyDescent="0.35">
      <c r="A4" s="3" t="s">
        <v>117</v>
      </c>
      <c r="B4" s="3" t="s">
        <v>118</v>
      </c>
      <c r="C4" s="3" t="s">
        <v>119</v>
      </c>
      <c r="D4" s="3" t="s">
        <v>120</v>
      </c>
      <c r="E4" s="3" t="s">
        <v>2</v>
      </c>
      <c r="F4" s="3" t="s">
        <v>121</v>
      </c>
    </row>
    <row r="5" spans="1:6" ht="54" customHeight="1" x14ac:dyDescent="0.35">
      <c r="A5" s="1" t="s">
        <v>3</v>
      </c>
      <c r="B5" s="5" t="s">
        <v>377</v>
      </c>
      <c r="C5" s="5" t="s">
        <v>378</v>
      </c>
      <c r="D5" s="5"/>
      <c r="E5" s="5" t="s">
        <v>73</v>
      </c>
      <c r="F5" s="5"/>
    </row>
    <row r="6" spans="1:6" ht="54" customHeight="1" x14ac:dyDescent="0.35">
      <c r="A6" s="1" t="s">
        <v>4</v>
      </c>
      <c r="B6" s="5" t="s">
        <v>379</v>
      </c>
      <c r="C6" s="5" t="s">
        <v>380</v>
      </c>
      <c r="D6" s="5"/>
      <c r="E6" s="5" t="s">
        <v>73</v>
      </c>
      <c r="F6" s="5"/>
    </row>
    <row r="7" spans="1:6" ht="54" customHeight="1" x14ac:dyDescent="0.35">
      <c r="A7" s="1" t="s">
        <v>5</v>
      </c>
      <c r="B7" s="5" t="s">
        <v>381</v>
      </c>
      <c r="C7" s="5" t="s">
        <v>382</v>
      </c>
      <c r="D7" s="5"/>
      <c r="E7" s="5" t="s">
        <v>73</v>
      </c>
      <c r="F7" s="5"/>
    </row>
    <row r="8" spans="1:6" ht="54" customHeight="1" x14ac:dyDescent="0.35">
      <c r="A8" s="1" t="s">
        <v>122</v>
      </c>
      <c r="B8" s="5" t="s">
        <v>383</v>
      </c>
      <c r="C8" s="5" t="s">
        <v>384</v>
      </c>
      <c r="D8" s="5"/>
      <c r="E8" s="5" t="s">
        <v>73</v>
      </c>
      <c r="F8" s="5"/>
    </row>
    <row r="10" spans="1:6" x14ac:dyDescent="0.35">
      <c r="A10" s="15" t="s">
        <v>123</v>
      </c>
      <c r="B10" s="15"/>
      <c r="C10" s="15"/>
      <c r="D10" s="15"/>
      <c r="E10" s="15"/>
      <c r="F10" s="15"/>
    </row>
    <row r="11" spans="1:6" x14ac:dyDescent="0.35">
      <c r="A11" s="3" t="s">
        <v>124</v>
      </c>
      <c r="B11" s="3" t="s">
        <v>125</v>
      </c>
      <c r="C11" s="3" t="s">
        <v>126</v>
      </c>
      <c r="D11" s="3" t="s">
        <v>48</v>
      </c>
      <c r="E11" s="3" t="s">
        <v>127</v>
      </c>
      <c r="F11" s="3" t="s">
        <v>128</v>
      </c>
    </row>
    <row r="12" spans="1:6" ht="40" customHeight="1" x14ac:dyDescent="0.35">
      <c r="A12" s="1" t="s">
        <v>442</v>
      </c>
      <c r="B12" s="5"/>
      <c r="C12" s="5"/>
      <c r="D12" s="5" t="s">
        <v>129</v>
      </c>
      <c r="E12" s="5"/>
      <c r="F12" s="5"/>
    </row>
    <row r="13" spans="1:6" ht="40" customHeight="1" x14ac:dyDescent="0.35">
      <c r="A13" s="1" t="s">
        <v>385</v>
      </c>
      <c r="B13" s="5"/>
      <c r="C13" s="5"/>
      <c r="D13" s="5" t="s">
        <v>129</v>
      </c>
      <c r="E13" s="5"/>
      <c r="F13" s="5"/>
    </row>
    <row r="14" spans="1:6" ht="40" customHeight="1" x14ac:dyDescent="0.35">
      <c r="A14" s="1" t="s">
        <v>386</v>
      </c>
      <c r="B14" s="5"/>
      <c r="C14" s="5"/>
      <c r="D14" s="5" t="s">
        <v>129</v>
      </c>
      <c r="E14" s="5"/>
      <c r="F14" s="5"/>
    </row>
    <row r="15" spans="1:6" ht="40" customHeight="1" x14ac:dyDescent="0.35">
      <c r="A15" s="1" t="s">
        <v>387</v>
      </c>
      <c r="B15" s="5"/>
      <c r="C15" s="5"/>
      <c r="D15" s="5" t="s">
        <v>130</v>
      </c>
      <c r="E15" s="5"/>
      <c r="F15" s="5"/>
    </row>
    <row r="16" spans="1:6" ht="40" customHeight="1" x14ac:dyDescent="0.35">
      <c r="A16" s="1" t="s">
        <v>388</v>
      </c>
      <c r="B16" s="5"/>
      <c r="C16" s="5"/>
      <c r="D16" s="5" t="s">
        <v>130</v>
      </c>
      <c r="E16" s="5"/>
      <c r="F16" s="5"/>
    </row>
    <row r="17" spans="1:6" ht="40" customHeight="1" x14ac:dyDescent="0.35">
      <c r="A17" s="1" t="s">
        <v>389</v>
      </c>
      <c r="B17" s="5"/>
      <c r="C17" s="5"/>
      <c r="D17" s="5" t="s">
        <v>130</v>
      </c>
      <c r="E17" s="5"/>
      <c r="F17" s="5"/>
    </row>
    <row r="18" spans="1:6" ht="40" customHeight="1" x14ac:dyDescent="0.35">
      <c r="A18" s="1" t="s">
        <v>390</v>
      </c>
      <c r="B18" s="5"/>
      <c r="C18" s="5"/>
      <c r="D18" s="5" t="s">
        <v>130</v>
      </c>
      <c r="E18" s="5"/>
      <c r="F18" s="5"/>
    </row>
    <row r="19" spans="1:6" ht="40" customHeight="1" x14ac:dyDescent="0.35">
      <c r="A19" s="1" t="s">
        <v>131</v>
      </c>
      <c r="B19" s="5"/>
      <c r="C19" s="5"/>
      <c r="D19" s="5" t="s">
        <v>130</v>
      </c>
      <c r="E19" s="5"/>
      <c r="F19" s="5"/>
    </row>
    <row r="20" spans="1:6" ht="40" customHeight="1" x14ac:dyDescent="0.35">
      <c r="A20" s="1" t="s">
        <v>132</v>
      </c>
      <c r="B20" s="5"/>
      <c r="C20" s="5"/>
      <c r="D20" s="5" t="s">
        <v>130</v>
      </c>
      <c r="E20" s="5"/>
      <c r="F20" s="5"/>
    </row>
    <row r="21" spans="1:6" ht="40" customHeight="1" x14ac:dyDescent="0.35">
      <c r="A21" s="1" t="s">
        <v>391</v>
      </c>
      <c r="B21" s="5"/>
      <c r="C21" s="5"/>
      <c r="D21" s="5" t="s">
        <v>130</v>
      </c>
      <c r="E21" s="5"/>
      <c r="F21" s="5"/>
    </row>
    <row r="22" spans="1:6" ht="40" customHeight="1" x14ac:dyDescent="0.35">
      <c r="A22" s="1" t="s">
        <v>133</v>
      </c>
      <c r="B22" s="5"/>
      <c r="C22" s="5"/>
      <c r="D22" s="5" t="s">
        <v>134</v>
      </c>
      <c r="E22" s="5"/>
      <c r="F22" s="5"/>
    </row>
    <row r="23" spans="1:6" ht="40" customHeight="1" x14ac:dyDescent="0.35">
      <c r="A23" s="1" t="s">
        <v>135</v>
      </c>
      <c r="B23" s="5"/>
      <c r="C23" s="5"/>
      <c r="D23" s="5" t="s">
        <v>136</v>
      </c>
      <c r="E23" s="5"/>
      <c r="F23" s="5"/>
    </row>
  </sheetData>
  <mergeCells count="3">
    <mergeCell ref="A1:F1"/>
    <mergeCell ref="A3:F3"/>
    <mergeCell ref="A10:F10"/>
  </mergeCells>
  <dataValidations count="3">
    <dataValidation type="list" allowBlank="1" showInputMessage="1" showErrorMessage="1" sqref="E5:E8" xr:uid="{01EE36A3-0BE6-4BE0-9A0F-F94A322F7F6E}">
      <formula1>"Not started,In progress,Done,Blocked"</formula1>
    </dataValidation>
    <dataValidation type="list" allowBlank="1" showInputMessage="1" showErrorMessage="1" sqref="B12:B23" xr:uid="{CA215A73-96EE-445A-8D2A-E17197E73D75}">
      <formula1>"Yes,No,Partial"</formula1>
    </dataValidation>
    <dataValidation type="list" allowBlank="1" showInputMessage="1" showErrorMessage="1" sqref="E12:E23" xr:uid="{4912F95F-00C2-4CC2-9986-1F592B740B4E}">
      <formula1>"No,Minor,Major"</formula1>
    </dataValidation>
  </dataValidations>
  <pageMargins left="0.7" right="0.7" top="0.75" bottom="0.75" header="0.3" footer="0.3"/>
  <pageSetup scale="71" fitToHeight="0"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E1EB7-67FA-4C63-BD0F-4BF19109779F}">
  <sheetPr>
    <tabColor rgb="FFC8B6FF"/>
    <pageSetUpPr fitToPage="1"/>
  </sheetPr>
  <dimension ref="A1:D11"/>
  <sheetViews>
    <sheetView showGridLines="0" workbookViewId="0"/>
  </sheetViews>
  <sheetFormatPr defaultRowHeight="13" x14ac:dyDescent="0.35"/>
  <cols>
    <col min="1" max="1" width="26.6328125" style="6" customWidth="1"/>
    <col min="2" max="2" width="54.6328125" style="6" customWidth="1"/>
    <col min="3" max="3" width="42.6328125" style="6" customWidth="1"/>
    <col min="4" max="4" width="68.6328125" style="6" customWidth="1"/>
    <col min="5" max="16384" width="8.7265625" style="6"/>
  </cols>
  <sheetData>
    <row r="1" spans="1:4" ht="36" customHeight="1" x14ac:dyDescent="0.35">
      <c r="A1" s="13" t="s">
        <v>137</v>
      </c>
      <c r="B1" s="13"/>
      <c r="C1" s="13"/>
      <c r="D1" s="13"/>
    </row>
    <row r="3" spans="1:4" x14ac:dyDescent="0.35">
      <c r="A3" s="3" t="s">
        <v>138</v>
      </c>
      <c r="B3" s="3" t="s">
        <v>139</v>
      </c>
      <c r="C3" s="3" t="s">
        <v>140</v>
      </c>
      <c r="D3" s="3" t="s">
        <v>141</v>
      </c>
    </row>
    <row r="4" spans="1:4" ht="70" customHeight="1" x14ac:dyDescent="0.35">
      <c r="A4" s="1" t="s">
        <v>142</v>
      </c>
      <c r="B4" s="1" t="s">
        <v>143</v>
      </c>
      <c r="C4" s="1" t="s">
        <v>144</v>
      </c>
      <c r="D4" s="1" t="s">
        <v>145</v>
      </c>
    </row>
    <row r="5" spans="1:4" ht="70" customHeight="1" x14ac:dyDescent="0.35">
      <c r="A5" s="1" t="s">
        <v>146</v>
      </c>
      <c r="B5" s="1" t="s">
        <v>147</v>
      </c>
      <c r="C5" s="1" t="s">
        <v>148</v>
      </c>
      <c r="D5" s="1" t="s">
        <v>145</v>
      </c>
    </row>
    <row r="6" spans="1:4" ht="70" customHeight="1" x14ac:dyDescent="0.35">
      <c r="A6" s="1" t="s">
        <v>149</v>
      </c>
      <c r="B6" s="1" t="s">
        <v>150</v>
      </c>
      <c r="C6" s="1" t="s">
        <v>151</v>
      </c>
      <c r="D6" s="1" t="s">
        <v>152</v>
      </c>
    </row>
    <row r="7" spans="1:4" ht="70" customHeight="1" x14ac:dyDescent="0.35">
      <c r="A7" s="1" t="s">
        <v>153</v>
      </c>
      <c r="B7" s="1" t="s">
        <v>154</v>
      </c>
      <c r="C7" s="1" t="s">
        <v>155</v>
      </c>
      <c r="D7" s="1" t="s">
        <v>156</v>
      </c>
    </row>
    <row r="8" spans="1:4" ht="70" customHeight="1" x14ac:dyDescent="0.35">
      <c r="A8" s="1" t="s">
        <v>157</v>
      </c>
      <c r="B8" s="1" t="s">
        <v>158</v>
      </c>
      <c r="C8" s="1" t="s">
        <v>159</v>
      </c>
      <c r="D8" s="1" t="s">
        <v>160</v>
      </c>
    </row>
    <row r="9" spans="1:4" ht="70" customHeight="1" x14ac:dyDescent="0.35">
      <c r="A9" s="1" t="s">
        <v>161</v>
      </c>
      <c r="B9" s="1" t="s">
        <v>162</v>
      </c>
      <c r="C9" s="1" t="s">
        <v>163</v>
      </c>
      <c r="D9" s="1" t="s">
        <v>160</v>
      </c>
    </row>
    <row r="10" spans="1:4" ht="70" customHeight="1" x14ac:dyDescent="0.35">
      <c r="A10" s="1" t="s">
        <v>164</v>
      </c>
      <c r="B10" s="1" t="s">
        <v>165</v>
      </c>
      <c r="C10" s="1" t="s">
        <v>166</v>
      </c>
      <c r="D10" s="1" t="s">
        <v>145</v>
      </c>
    </row>
    <row r="11" spans="1:4" ht="70" customHeight="1" x14ac:dyDescent="0.35">
      <c r="A11" s="1" t="s">
        <v>167</v>
      </c>
      <c r="B11" s="1" t="s">
        <v>168</v>
      </c>
      <c r="C11" s="1" t="s">
        <v>169</v>
      </c>
      <c r="D11" s="1" t="s">
        <v>170</v>
      </c>
    </row>
  </sheetData>
  <mergeCells count="1">
    <mergeCell ref="A1:D1"/>
  </mergeCells>
  <pageMargins left="0.7" right="0.7" top="0.75" bottom="0.75" header="0.3" footer="0.3"/>
  <pageSetup scale="63" fitToHeight="0"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6F5DB-DE83-4494-81A6-24930A38CA70}">
  <sheetPr>
    <tabColor rgb="FFC8B6FF"/>
    <pageSetUpPr fitToPage="1"/>
  </sheetPr>
  <dimension ref="A1:D16"/>
  <sheetViews>
    <sheetView showGridLines="0" workbookViewId="0"/>
  </sheetViews>
  <sheetFormatPr defaultRowHeight="13" x14ac:dyDescent="0.35"/>
  <cols>
    <col min="1" max="1" width="30.6328125" style="6" customWidth="1"/>
    <col min="2" max="4" width="46.6328125" style="6" customWidth="1"/>
    <col min="5" max="16384" width="8.7265625" style="6"/>
  </cols>
  <sheetData>
    <row r="1" spans="1:4" ht="36" customHeight="1" x14ac:dyDescent="0.35">
      <c r="A1" s="13" t="s">
        <v>392</v>
      </c>
      <c r="B1" s="13"/>
      <c r="C1" s="13"/>
      <c r="D1" s="13"/>
    </row>
    <row r="3" spans="1:4" x14ac:dyDescent="0.35">
      <c r="A3" s="3" t="s">
        <v>124</v>
      </c>
      <c r="B3" s="3" t="s">
        <v>393</v>
      </c>
      <c r="C3" s="3" t="s">
        <v>394</v>
      </c>
      <c r="D3" s="3" t="s">
        <v>171</v>
      </c>
    </row>
    <row r="4" spans="1:4" ht="58" customHeight="1" x14ac:dyDescent="0.35">
      <c r="A4" s="1" t="s">
        <v>395</v>
      </c>
      <c r="B4" s="7" t="s">
        <v>396</v>
      </c>
      <c r="C4" s="5" t="s">
        <v>397</v>
      </c>
      <c r="D4" s="8" t="s">
        <v>443</v>
      </c>
    </row>
    <row r="5" spans="1:4" ht="58" customHeight="1" x14ac:dyDescent="0.35">
      <c r="A5" s="1" t="s">
        <v>398</v>
      </c>
      <c r="B5" s="7" t="s">
        <v>399</v>
      </c>
      <c r="C5" s="5" t="s">
        <v>400</v>
      </c>
      <c r="D5" s="8" t="s">
        <v>401</v>
      </c>
    </row>
    <row r="6" spans="1:4" ht="58" customHeight="1" x14ac:dyDescent="0.35">
      <c r="A6" s="1" t="s">
        <v>402</v>
      </c>
      <c r="B6" s="7" t="s">
        <v>403</v>
      </c>
      <c r="C6" s="5" t="s">
        <v>404</v>
      </c>
      <c r="D6" s="8" t="s">
        <v>405</v>
      </c>
    </row>
    <row r="7" spans="1:4" ht="58" customHeight="1" x14ac:dyDescent="0.35">
      <c r="A7" s="1" t="s">
        <v>406</v>
      </c>
      <c r="B7" s="7" t="s">
        <v>407</v>
      </c>
      <c r="C7" s="5" t="s">
        <v>408</v>
      </c>
      <c r="D7" s="8" t="s">
        <v>409</v>
      </c>
    </row>
    <row r="8" spans="1:4" ht="58" customHeight="1" x14ac:dyDescent="0.35">
      <c r="A8" s="1" t="s">
        <v>410</v>
      </c>
      <c r="B8" s="7" t="s">
        <v>411</v>
      </c>
      <c r="C8" s="5" t="s">
        <v>412</v>
      </c>
      <c r="D8" s="8" t="s">
        <v>413</v>
      </c>
    </row>
    <row r="9" spans="1:4" ht="58" customHeight="1" x14ac:dyDescent="0.35">
      <c r="A9" s="1" t="s">
        <v>414</v>
      </c>
      <c r="B9" s="7" t="s">
        <v>415</v>
      </c>
      <c r="C9" s="5" t="s">
        <v>416</v>
      </c>
      <c r="D9" s="8" t="s">
        <v>417</v>
      </c>
    </row>
    <row r="10" spans="1:4" ht="58" customHeight="1" x14ac:dyDescent="0.35">
      <c r="A10" s="1" t="s">
        <v>418</v>
      </c>
      <c r="B10" s="7" t="s">
        <v>419</v>
      </c>
      <c r="C10" s="5" t="s">
        <v>420</v>
      </c>
      <c r="D10" s="8" t="s">
        <v>421</v>
      </c>
    </row>
    <row r="11" spans="1:4" ht="58" customHeight="1" x14ac:dyDescent="0.35"/>
    <row r="12" spans="1:4" ht="58" customHeight="1" x14ac:dyDescent="0.35">
      <c r="A12" s="12" t="s">
        <v>422</v>
      </c>
      <c r="B12" s="12"/>
      <c r="C12" s="12"/>
      <c r="D12" s="12"/>
    </row>
    <row r="13" spans="1:4" ht="50" customHeight="1" x14ac:dyDescent="0.35">
      <c r="A13" s="10" t="s">
        <v>444</v>
      </c>
      <c r="B13" s="10"/>
      <c r="C13" s="10"/>
      <c r="D13" s="10"/>
    </row>
    <row r="16" spans="1:4" ht="50" customHeight="1" x14ac:dyDescent="0.35"/>
  </sheetData>
  <mergeCells count="3">
    <mergeCell ref="A1:D1"/>
    <mergeCell ref="A12:D12"/>
    <mergeCell ref="A13:D13"/>
  </mergeCells>
  <pageMargins left="0.7" right="0.7" top="0.75" bottom="0.75" header="0.3" footer="0.3"/>
  <pageSetup scale="72"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START HERE</vt:lpstr>
      <vt:lpstr>W1 SDG Voting</vt:lpstr>
      <vt:lpstr>W1 SDG Reality Check</vt:lpstr>
      <vt:lpstr>W1 Vote Summary</vt:lpstr>
      <vt:lpstr>W1 SDG Consensus</vt:lpstr>
      <vt:lpstr>W2 Concept Canvas</vt:lpstr>
      <vt:lpstr>W2 SDG &amp; 5W1H</vt:lpstr>
      <vt:lpstr>W2 Partners Timeline Budget</vt:lpstr>
      <vt:lpstr>W2 Tasks &amp; Checklist</vt:lpstr>
      <vt:lpstr>Japan Evidence Bank</vt:lpstr>
      <vt:lpstr>Rubric Guide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Daffa Ghiffary Kusuma</dc:creator>
  <cp:lastModifiedBy>Daffa Ghiffary Kusuma</cp:lastModifiedBy>
  <dcterms:created xsi:type="dcterms:W3CDTF">2026-04-21T03:11:31Z</dcterms:created>
  <dcterms:modified xsi:type="dcterms:W3CDTF">2026-04-24T04:48:55Z</dcterms:modified>
</cp:coreProperties>
</file>